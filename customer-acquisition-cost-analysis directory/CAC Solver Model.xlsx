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/>
  <mc:AlternateContent xmlns:mc="http://schemas.openxmlformats.org/markup-compatibility/2006">
    <mc:Choice Requires="x15">
      <x15ac:absPath xmlns:x15ac="http://schemas.microsoft.com/office/spreadsheetml/2010/11/ac" url="/Users/omi/Sales Dashboard Analysis/Bank Marketing CAC/"/>
    </mc:Choice>
  </mc:AlternateContent>
  <xr:revisionPtr revIDLastSave="0" documentId="13_ncr:1_{D7B2946D-7FA9-8F4B-AFF7-0D4F5A531653}" xr6:coauthVersionLast="47" xr6:coauthVersionMax="47" xr10:uidLastSave="{00000000-0000-0000-0000-000000000000}"/>
  <bookViews>
    <workbookView xWindow="0" yWindow="520" windowWidth="29240" windowHeight="17500" activeTab="5" xr2:uid="{00000000-000D-0000-FFFF-FFFF00000000}"/>
  </bookViews>
  <sheets>
    <sheet name="Inputs" sheetId="1" r:id="rId1"/>
    <sheet name="Channel Summary" sheetId="5" r:id="rId2"/>
    <sheet name="Solver Table" sheetId="4" r:id="rId3"/>
    <sheet name="Solver Model" sheetId="2" r:id="rId4"/>
    <sheet name="Summary" sheetId="3" r:id="rId5"/>
    <sheet name="Sensitivity Analysis" sheetId="11" r:id="rId6"/>
    <sheet name="LTV Analysis" sheetId="12" r:id="rId7"/>
  </sheets>
  <externalReferences>
    <externalReference r:id="rId8"/>
  </externalReferences>
  <definedNames>
    <definedName name="solver_adj" localSheetId="3" hidden="1">'Solver Model'!$G$3:$G$5</definedName>
    <definedName name="solver_cvg" localSheetId="3" hidden="1">0.0001</definedName>
    <definedName name="solver_drv" localSheetId="3" hidden="1">1</definedName>
    <definedName name="solver_eng" localSheetId="3" hidden="1">2</definedName>
    <definedName name="solver_itr" localSheetId="3" hidden="1">2147483647</definedName>
    <definedName name="solver_lhs1" localSheetId="3" hidden="1">'Solver Model'!$G$3:$G$5</definedName>
    <definedName name="solver_lhs2" localSheetId="3" hidden="1">'Solver Model'!$G$3:$G$5</definedName>
    <definedName name="solver_lhs3" localSheetId="3" hidden="1">'Solver Model'!$G$7</definedName>
    <definedName name="solver_lin" localSheetId="3" hidden="1">1</definedName>
    <definedName name="solver_mip" localSheetId="3" hidden="1">2147483647</definedName>
    <definedName name="solver_mni" localSheetId="3" hidden="1">30</definedName>
    <definedName name="solver_mrt" localSheetId="3" hidden="1">0.075</definedName>
    <definedName name="solver_msl" localSheetId="3" hidden="1">2</definedName>
    <definedName name="solver_neg" localSheetId="3" hidden="1">1</definedName>
    <definedName name="solver_nod" localSheetId="3" hidden="1">2147483647</definedName>
    <definedName name="solver_num" localSheetId="3" hidden="1">3</definedName>
    <definedName name="solver_opt" localSheetId="3" hidden="1">'Solver Model'!$H$8</definedName>
    <definedName name="solver_pre" localSheetId="3" hidden="1">0.000001</definedName>
    <definedName name="solver_rbv" localSheetId="3" hidden="1">1</definedName>
    <definedName name="solver_rel1" localSheetId="3" hidden="1">1</definedName>
    <definedName name="solver_rel2" localSheetId="3" hidden="1">3</definedName>
    <definedName name="solver_rel3" localSheetId="3" hidden="1">1</definedName>
    <definedName name="solver_rhs1" localSheetId="3" hidden="1">'Solver Model'!$E$3:$E$5</definedName>
    <definedName name="solver_rhs2" localSheetId="3" hidden="1">'Solver Model'!$F$3:$F$5</definedName>
    <definedName name="solver_rhs3" localSheetId="3" hidden="1">300000</definedName>
    <definedName name="solver_rlx" localSheetId="3" hidden="1">2</definedName>
    <definedName name="solver_rsd" localSheetId="3" hidden="1">0</definedName>
    <definedName name="solver_scl" localSheetId="3" hidden="1">1</definedName>
    <definedName name="solver_sho" localSheetId="3" hidden="1">2</definedName>
    <definedName name="solver_ssz" localSheetId="3" hidden="1">100</definedName>
    <definedName name="solver_tim" localSheetId="3" hidden="1">2147483647</definedName>
    <definedName name="solver_tol" localSheetId="3" hidden="1">0.01</definedName>
    <definedName name="solver_typ" localSheetId="3" hidden="1">1</definedName>
    <definedName name="solver_val" localSheetId="3" hidden="1">0</definedName>
    <definedName name="solver_ver" localSheetId="3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2" l="1"/>
  <c r="C22" i="12"/>
  <c r="C23" i="12"/>
  <c r="C21" i="12"/>
  <c r="B14" i="12"/>
  <c r="B18" i="11"/>
  <c r="C18" i="11" s="1"/>
  <c r="B15" i="11"/>
  <c r="C15" i="11" s="1"/>
  <c r="D8" i="11"/>
  <c r="C8" i="11"/>
  <c r="B8" i="11"/>
  <c r="D7" i="11"/>
  <c r="C7" i="11"/>
  <c r="B7" i="11"/>
  <c r="B14" i="11" s="1"/>
  <c r="C14" i="11" s="1"/>
  <c r="D6" i="11"/>
  <c r="C6" i="11"/>
  <c r="B6" i="11"/>
  <c r="B22" i="12"/>
  <c r="E22" i="12" s="1"/>
  <c r="B23" i="12"/>
  <c r="E23" i="12" s="1"/>
  <c r="B21" i="12"/>
  <c r="E21" i="12" s="1"/>
  <c r="B17" i="12"/>
  <c r="B16" i="12"/>
  <c r="B15" i="12"/>
  <c r="I27" i="11"/>
  <c r="I28" i="11"/>
  <c r="H27" i="11"/>
  <c r="H28" i="11"/>
  <c r="G27" i="11"/>
  <c r="G28" i="11"/>
  <c r="F26" i="11"/>
  <c r="F27" i="11"/>
  <c r="F28" i="11"/>
  <c r="E27" i="11"/>
  <c r="E28" i="11"/>
  <c r="D27" i="11"/>
  <c r="D28" i="11"/>
  <c r="C28" i="11"/>
  <c r="C27" i="11"/>
  <c r="C26" i="11"/>
  <c r="I26" i="11"/>
  <c r="H26" i="11"/>
  <c r="G26" i="11"/>
  <c r="E26" i="11"/>
  <c r="D26" i="11"/>
  <c r="I4" i="4"/>
  <c r="I3" i="4"/>
  <c r="I5" i="4"/>
  <c r="I2" i="4"/>
  <c r="B5" i="4"/>
  <c r="G5" i="2"/>
  <c r="F4" i="2"/>
  <c r="F5" i="2"/>
  <c r="F3" i="2"/>
  <c r="B4" i="1"/>
  <c r="B3" i="3" s="1"/>
  <c r="E3" i="2"/>
  <c r="E5" i="2"/>
  <c r="E4" i="2"/>
  <c r="C5" i="4"/>
  <c r="D5" i="4"/>
  <c r="E5" i="4"/>
  <c r="F5" i="4"/>
  <c r="G5" i="4"/>
  <c r="H5" i="4"/>
  <c r="D3" i="2"/>
  <c r="B4" i="2"/>
  <c r="H4" i="2" s="1"/>
  <c r="C10" i="3" s="1"/>
  <c r="B5" i="2"/>
  <c r="D11" i="3" s="1"/>
  <c r="B3" i="2"/>
  <c r="C4" i="2"/>
  <c r="C5" i="2"/>
  <c r="C3" i="2"/>
  <c r="D5" i="2"/>
  <c r="D4" i="2"/>
  <c r="C5" i="5"/>
  <c r="D5" i="5"/>
  <c r="E5" i="5"/>
  <c r="F5" i="5"/>
  <c r="G5" i="5"/>
  <c r="H5" i="5"/>
  <c r="I5" i="5"/>
  <c r="J5" i="5"/>
  <c r="B5" i="5"/>
  <c r="B5" i="1"/>
  <c r="B11" i="3"/>
  <c r="A11" i="3"/>
  <c r="D10" i="3"/>
  <c r="B10" i="3"/>
  <c r="A10" i="3"/>
  <c r="B9" i="3"/>
  <c r="A9" i="3"/>
  <c r="G7" i="2"/>
  <c r="C11" i="3"/>
  <c r="B12" i="11" l="1"/>
  <c r="B16" i="11"/>
  <c r="C16" i="11" s="1"/>
  <c r="B19" i="11"/>
  <c r="C19" i="11" s="1"/>
  <c r="B13" i="11"/>
  <c r="C13" i="11" s="1"/>
  <c r="B17" i="11"/>
  <c r="C17" i="11" s="1"/>
  <c r="D15" i="11"/>
  <c r="E15" i="11" s="1"/>
  <c r="D18" i="11"/>
  <c r="E18" i="11" s="1"/>
  <c r="D14" i="11"/>
  <c r="E14" i="11" s="1"/>
  <c r="D17" i="11"/>
  <c r="E17" i="11" s="1"/>
  <c r="F22" i="12"/>
  <c r="D22" i="12"/>
  <c r="B12" i="3"/>
  <c r="H3" i="2"/>
  <c r="C9" i="3" s="1"/>
  <c r="C12" i="3" s="1"/>
  <c r="D9" i="3"/>
  <c r="D13" i="11" l="1"/>
  <c r="E13" i="11" s="1"/>
  <c r="F13" i="11" s="1"/>
  <c r="C12" i="11"/>
  <c r="F17" i="11"/>
  <c r="F18" i="11"/>
  <c r="F14" i="11"/>
  <c r="F15" i="11"/>
  <c r="D19" i="11"/>
  <c r="E19" i="11" s="1"/>
  <c r="D16" i="11"/>
  <c r="E16" i="11" s="1"/>
  <c r="D21" i="12"/>
  <c r="F21" i="12"/>
  <c r="F23" i="12"/>
  <c r="D23" i="12"/>
  <c r="D12" i="3"/>
  <c r="H8" i="2"/>
  <c r="D12" i="11" l="1"/>
  <c r="E12" i="11" s="1"/>
  <c r="F12" i="11" s="1"/>
  <c r="F19" i="11"/>
  <c r="F16" i="11"/>
  <c r="G15" i="11" s="1"/>
  <c r="B4" i="3"/>
  <c r="H9" i="2"/>
  <c r="B5" i="3" s="1"/>
  <c r="G13" i="11" l="1"/>
  <c r="G19" i="11"/>
  <c r="G18" i="11"/>
  <c r="G14" i="11"/>
  <c r="G17" i="11"/>
  <c r="G12" i="11"/>
</calcChain>
</file>

<file path=xl/sharedStrings.xml><?xml version="1.0" encoding="utf-8"?>
<sst xmlns="http://schemas.openxmlformats.org/spreadsheetml/2006/main" count="145" uniqueCount="107">
  <si>
    <t>CAC Solver Model Inputs</t>
  </si>
  <si>
    <t>Model Controls</t>
  </si>
  <si>
    <t>Channel Cost Assumptions</t>
  </si>
  <si>
    <t>Total Budget</t>
  </si>
  <si>
    <t>Contact Channel</t>
  </si>
  <si>
    <t>Cost per Contact</t>
  </si>
  <si>
    <t>Target Customers</t>
  </si>
  <si>
    <t>cellular</t>
  </si>
  <si>
    <t>Objective</t>
  </si>
  <si>
    <t>Max customers or Min overall CAC</t>
  </si>
  <si>
    <t>telephone</t>
  </si>
  <si>
    <t>unknown</t>
  </si>
  <si>
    <t>Solver Model</t>
  </si>
  <si>
    <t>contact</t>
  </si>
  <si>
    <t>Total Budget Used</t>
  </si>
  <si>
    <t>Total Expected Customers</t>
  </si>
  <si>
    <t>Overall CAC</t>
  </si>
  <si>
    <t>• Max customers model: Set Objective = H8 and choose Max</t>
  </si>
  <si>
    <t>• Min CAC model: Set Objective = H9 and choose Min, then add H8 &gt;= Inputs!$B$5</t>
  </si>
  <si>
    <t>• Changing cells = G3:G5</t>
  </si>
  <si>
    <t>• Common constraints: G7 &lt;= Inputs!$B$4, G3:G5 &gt;= F3:F5, G3:G5 &lt;= E3:E5</t>
  </si>
  <si>
    <t>CAC Optimization Summary</t>
  </si>
  <si>
    <t>Recommended Budget by Channel</t>
  </si>
  <si>
    <t>Channel</t>
  </si>
  <si>
    <t>Budget Allocation</t>
  </si>
  <si>
    <t>Expected Customers</t>
  </si>
  <si>
    <t>Estimated CAC</t>
  </si>
  <si>
    <t>Interpretation</t>
  </si>
  <si>
    <t>Cellular</t>
  </si>
  <si>
    <t>Contact</t>
  </si>
  <si>
    <t>Total</t>
  </si>
  <si>
    <t>•Solving method: Simplex LP</t>
  </si>
  <si>
    <t>total records</t>
  </si>
  <si>
    <t>customers acquired</t>
  </si>
  <si>
    <t>total contacts</t>
  </si>
  <si>
    <t>avg contacts</t>
  </si>
  <si>
    <t>total estimated cost</t>
  </si>
  <si>
    <t>avg duration</t>
  </si>
  <si>
    <t>conversion rate</t>
  </si>
  <si>
    <t>estimated cac</t>
  </si>
  <si>
    <t>customers per 1000</t>
  </si>
  <si>
    <t>max budget</t>
  </si>
  <si>
    <t>min budget</t>
  </si>
  <si>
    <t>budget allocation</t>
  </si>
  <si>
    <t>expected customers</t>
  </si>
  <si>
    <t>Data: https://archive-beta.ics.uci.edu/dataset/222/bank%2Bmarketing</t>
  </si>
  <si>
    <t>Setup</t>
  </si>
  <si>
    <t>Value</t>
  </si>
  <si>
    <t>Base Cost</t>
  </si>
  <si>
    <t>Telephone</t>
  </si>
  <si>
    <t>Unknown</t>
  </si>
  <si>
    <t>ASSUMPTIONS</t>
  </si>
  <si>
    <t>Input</t>
  </si>
  <si>
    <t>Avg Annual Revenue per Customer ($)</t>
  </si>
  <si>
    <t>Avg Retention Period (years)</t>
  </si>
  <si>
    <t>Annual Churn Rate</t>
  </si>
  <si>
    <t>Discount Rate</t>
  </si>
  <si>
    <t>Gross Margin</t>
  </si>
  <si>
    <t>LTV CALCULATIONS</t>
  </si>
  <si>
    <t>Method</t>
  </si>
  <si>
    <t>LTV ($)</t>
  </si>
  <si>
    <t>Simple LTV</t>
  </si>
  <si>
    <t>Churn-based LTV</t>
  </si>
  <si>
    <t>Margin-adjusted LTV</t>
  </si>
  <si>
    <t>Discounted LTV</t>
  </si>
  <si>
    <t>LTV:CAC RATIO BY CHANNEL</t>
  </si>
  <si>
    <t>CAC ($)</t>
  </si>
  <si>
    <t>LTV ($)
(Discounted)</t>
  </si>
  <si>
    <t>LTV:CAC Ratio</t>
  </si>
  <si>
    <t>Payback Period
(months)</t>
  </si>
  <si>
    <t>Assessment</t>
  </si>
  <si>
    <t>Excellent</t>
  </si>
  <si>
    <t>LTV:CAC BENCHMARK GUIDE</t>
  </si>
  <si>
    <t>Ratio</t>
  </si>
  <si>
    <t>What it means</t>
  </si>
  <si>
    <t>Below 1x</t>
  </si>
  <si>
    <t>Unprofitable</t>
  </si>
  <si>
    <t>Losing money on every customer acquired</t>
  </si>
  <si>
    <t>1x – 3x</t>
  </si>
  <si>
    <t>Marginal</t>
  </si>
  <si>
    <t>3x – 5x</t>
  </si>
  <si>
    <t>Healthy</t>
  </si>
  <si>
    <t>Industry standard target for most businesses</t>
  </si>
  <si>
    <t>Above 5x</t>
  </si>
  <si>
    <t xml:space="preserve"> </t>
  </si>
  <si>
    <t>Total Budget ($)</t>
  </si>
  <si>
    <t>Cellular ($)</t>
  </si>
  <si>
    <t>Unknown ($)</t>
  </si>
  <si>
    <t>Telephone ($)</t>
  </si>
  <si>
    <t>Total Customers</t>
  </si>
  <si>
    <t>Overall CAC ($)</t>
  </si>
  <si>
    <t>Min Budget ($)</t>
  </si>
  <si>
    <t>Max Budget ($)</t>
  </si>
  <si>
    <t>CAC vs Base</t>
  </si>
  <si>
    <t>Total Budget Sensitivity</t>
  </si>
  <si>
    <t>CAC Sensitivity to Cost Per Contact</t>
  </si>
  <si>
    <t>Sensitivity Analysis</t>
  </si>
  <si>
    <t>expected cost check</t>
  </si>
  <si>
    <t>LTV Analysis  Customer Acquisition Cost Model</t>
  </si>
  <si>
    <t>Breakeven, CAC is eating most of the value</t>
  </si>
  <si>
    <t>Strong unit economics, could justify higher CAC</t>
  </si>
  <si>
    <t>How should the bank allocate its budget to acquire more customers?</t>
  </si>
  <si>
    <t>Business Questions</t>
  </si>
  <si>
    <t>Put as much as possible into cellular, set the other two to their minimums, and don't spend a dollar more on telephone than you have to.</t>
  </si>
  <si>
    <t>Cellular acquires customers at half the cost of telephone. Every dollar shifted from telephone to cellular buys you roughly 2x more customers.</t>
  </si>
  <si>
    <t>What happens if cellular contact costs increase?</t>
  </si>
  <si>
    <t>Cellular costs would need to nearly double (+90%) before it stops being your cheapest channel. That's an enormous buffer, it remains the best option through almost any realistic cost increase scenario.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</si>
</sst>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164" formatCode="\$#,##0.00;[Red]\(\$#,##0.00\);\-"/>
    <numFmt numFmtId="165" formatCode="#,##0;[Red]\(#,##0\);\-"/>
    <numFmt numFmtId="166" formatCode="0.0%"/>
    <numFmt numFmtId="167" formatCode="0.0"/>
    <numFmt numFmtId="168" formatCode="\$#,##0"/>
    <numFmt numFmtId="169" formatCode="#,##0.0"/>
    <numFmt numFmtId="170" formatCode="\$#,##0.00"/>
    <numFmt numFmtId="171" formatCode="0.0\x"/>
    <numFmt numFmtId="172" formatCode="\$#,##0.00;&quot;($&quot;#,##0.00\)"/>
  </numFmts>
  <fonts count="4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rgb="FF0000FF"/>
      <name val="Calibri"/>
      <family val="2"/>
    </font>
    <font>
      <b/>
      <sz val="11"/>
      <name val="Calibri"/>
      <family val="2"/>
    </font>
    <font>
      <sz val="11"/>
      <color rgb="FF666666"/>
      <name val="Calibri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2"/>
      <color theme="0"/>
      <name val="Aptos Narrow"/>
    </font>
    <font>
      <sz val="12"/>
      <color theme="5"/>
      <name val="Aptos Narrow"/>
    </font>
    <font>
      <sz val="11"/>
      <color theme="5"/>
      <name val="Calibri"/>
      <family val="2"/>
      <scheme val="minor"/>
    </font>
    <font>
      <b/>
      <sz val="14"/>
      <color rgb="FFFFFFFF"/>
      <name val="Calibri (Body)"/>
    </font>
    <font>
      <sz val="14"/>
      <color theme="1"/>
      <name val="Calibri (Body)"/>
    </font>
    <font>
      <sz val="11"/>
      <color theme="5"/>
      <name val="Calibri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2"/>
      <color theme="5" tint="-0.249977111117893"/>
      <name val="Aptos Narrow"/>
    </font>
    <font>
      <sz val="11"/>
      <color theme="5" tint="-0.249977111117893"/>
      <name val="Calibri"/>
      <family val="2"/>
      <scheme val="minor"/>
    </font>
    <font>
      <sz val="11"/>
      <color theme="5" tint="-0.249977111117893"/>
      <name val="Aptos Narrow"/>
    </font>
    <font>
      <sz val="10"/>
      <color theme="1"/>
      <name val="Arial Unicode MS"/>
      <family val="2"/>
    </font>
    <font>
      <i/>
      <sz val="10"/>
      <color rgb="FF595959"/>
      <name val="Cambria"/>
      <family val="1"/>
    </font>
    <font>
      <sz val="11"/>
      <color rgb="FF000000"/>
      <name val="Calibri"/>
      <family val="2"/>
      <charset val="1"/>
      <scheme val="minor"/>
    </font>
    <font>
      <b/>
      <sz val="11"/>
      <color rgb="FF1F4E79"/>
      <name val="Cambria"/>
      <family val="1"/>
    </font>
    <font>
      <b/>
      <sz val="10"/>
      <color rgb="FFFFFFFF"/>
      <name val="Cambria"/>
      <family val="1"/>
    </font>
    <font>
      <sz val="11"/>
      <color rgb="FF000000"/>
      <name val="Cambria"/>
      <family val="1"/>
    </font>
    <font>
      <b/>
      <sz val="11"/>
      <color rgb="FF7B5C00"/>
      <name val="Cambria"/>
      <family val="1"/>
    </font>
    <font>
      <sz val="11"/>
      <color rgb="FF008000"/>
      <name val="Cambria"/>
      <family val="1"/>
    </font>
    <font>
      <b/>
      <sz val="11"/>
      <color rgb="FF000000"/>
      <name val="Cambria"/>
      <family val="1"/>
    </font>
    <font>
      <b/>
      <sz val="11"/>
      <color rgb="FFC00000"/>
      <name val="Cambria"/>
      <family val="1"/>
    </font>
    <font>
      <b/>
      <sz val="11"/>
      <color rgb="FF375623"/>
      <name val="Cambria"/>
      <family val="1"/>
    </font>
    <font>
      <b/>
      <sz val="14"/>
      <color theme="5" tint="-0.249977111117893"/>
      <name val="Cambria"/>
      <family val="1"/>
    </font>
    <font>
      <b/>
      <sz val="11"/>
      <color theme="5" tint="-0.249977111117893"/>
      <name val="Cambria"/>
      <family val="1"/>
    </font>
    <font>
      <b/>
      <sz val="12"/>
      <color theme="1"/>
      <name val="Calibri"/>
      <family val="2"/>
      <scheme val="minor"/>
    </font>
    <font>
      <b/>
      <sz val="11"/>
      <color rgb="FFFFFFFF"/>
      <name val="Cambria"/>
      <family val="1"/>
    </font>
    <font>
      <sz val="11"/>
      <color theme="5" tint="-0.249977111117893"/>
      <name val="Cambria"/>
      <family val="1"/>
    </font>
    <font>
      <sz val="11"/>
      <color rgb="FF963634"/>
      <name val="Cambria"/>
      <family val="1"/>
    </font>
    <font>
      <b/>
      <sz val="11"/>
      <color rgb="FF963634"/>
      <name val="Cambria"/>
      <family val="1"/>
    </font>
    <font>
      <b/>
      <sz val="14"/>
      <color theme="5" tint="-0.249977111117893"/>
      <name val="Calibri"/>
      <family val="2"/>
      <scheme val="minor"/>
    </font>
    <font>
      <b/>
      <sz val="12"/>
      <color theme="5" tint="-0.249977111117893"/>
      <name val="Cambria"/>
      <family val="1"/>
    </font>
    <font>
      <b/>
      <sz val="12"/>
      <color theme="5" tint="-0.249977111117893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</font>
    <font>
      <sz val="11"/>
      <color theme="2" tint="-0.499984740745262"/>
      <name val="Cambria"/>
      <family val="1"/>
    </font>
  </fonts>
  <fills count="15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2CC"/>
        <bgColor rgb="FFFDEADA"/>
      </patternFill>
    </fill>
    <fill>
      <patternFill patternType="solid">
        <fgColor theme="0"/>
        <bgColor rgb="FF0066CC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FFF2CC"/>
      </patternFill>
    </fill>
    <fill>
      <patternFill patternType="solid">
        <fgColor theme="5"/>
        <bgColor rgb="FF0066CC"/>
      </patternFill>
    </fill>
    <fill>
      <patternFill patternType="solid">
        <fgColor theme="5"/>
        <bgColor rgb="FF003366"/>
      </patternFill>
    </fill>
    <fill>
      <patternFill patternType="solid">
        <fgColor theme="0"/>
        <bgColor rgb="FFFDEADA"/>
      </patternFill>
    </fill>
  </fills>
  <borders count="16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3">
    <xf numFmtId="0" fontId="0" fillId="0" borderId="0"/>
    <xf numFmtId="44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152">
    <xf numFmtId="0" fontId="0" fillId="0" borderId="0" xfId="0"/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16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0" borderId="0" xfId="0" applyAlignment="1">
      <alignment horizontal="center"/>
    </xf>
    <xf numFmtId="0" fontId="1" fillId="4" borderId="1" xfId="0" applyFont="1" applyFill="1" applyBorder="1" applyAlignment="1">
      <alignment vertical="center"/>
    </xf>
    <xf numFmtId="164" fontId="2" fillId="5" borderId="1" xfId="0" applyNumberFormat="1" applyFont="1" applyFill="1" applyBorder="1" applyAlignment="1">
      <alignment vertical="center"/>
    </xf>
    <xf numFmtId="165" fontId="2" fillId="5" borderId="1" xfId="0" applyNumberFormat="1" applyFont="1" applyFill="1" applyBorder="1" applyAlignment="1">
      <alignment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164" fontId="6" fillId="5" borderId="1" xfId="0" applyNumberFormat="1" applyFont="1" applyFill="1" applyBorder="1" applyAlignment="1">
      <alignment horizontal="center" vertical="center"/>
    </xf>
    <xf numFmtId="164" fontId="13" fillId="3" borderId="1" xfId="0" applyNumberFormat="1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164" fontId="14" fillId="3" borderId="0" xfId="0" applyNumberFormat="1" applyFont="1" applyFill="1" applyAlignment="1">
      <alignment vertical="center"/>
    </xf>
    <xf numFmtId="0" fontId="1" fillId="6" borderId="1" xfId="0" applyFont="1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7" fillId="4" borderId="0" xfId="0" applyFont="1" applyFill="1" applyAlignment="1">
      <alignment horizontal="center" wrapText="1" shrinkToFit="1"/>
    </xf>
    <xf numFmtId="0" fontId="1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4" fontId="13" fillId="3" borderId="1" xfId="0" applyNumberFormat="1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44" fontId="0" fillId="5" borderId="0" xfId="1" applyFont="1" applyFill="1" applyAlignment="1">
      <alignment horizontal="center"/>
    </xf>
    <xf numFmtId="2" fontId="7" fillId="4" borderId="0" xfId="0" applyNumberFormat="1" applyFont="1" applyFill="1" applyAlignment="1">
      <alignment horizontal="center"/>
    </xf>
    <xf numFmtId="2" fontId="0" fillId="0" borderId="0" xfId="0" applyNumberFormat="1"/>
    <xf numFmtId="2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 vertical="center"/>
    </xf>
    <xf numFmtId="2" fontId="9" fillId="0" borderId="0" xfId="0" applyNumberFormat="1" applyFont="1" applyAlignment="1">
      <alignment horizontal="center" vertical="center"/>
    </xf>
    <xf numFmtId="2" fontId="9" fillId="0" borderId="0" xfId="0" applyNumberFormat="1" applyFont="1"/>
    <xf numFmtId="1" fontId="9" fillId="0" borderId="0" xfId="0" applyNumberFormat="1" applyFont="1" applyAlignment="1">
      <alignment horizontal="center" vertical="center"/>
    </xf>
    <xf numFmtId="164" fontId="0" fillId="0" borderId="0" xfId="0" applyNumberFormat="1"/>
    <xf numFmtId="44" fontId="6" fillId="5" borderId="1" xfId="1" applyFont="1" applyFill="1" applyBorder="1" applyAlignment="1">
      <alignment horizontal="center" vertical="center"/>
    </xf>
    <xf numFmtId="0" fontId="16" fillId="0" borderId="0" xfId="0" applyFont="1" applyAlignment="1">
      <alignment wrapText="1" shrinkToFit="1"/>
    </xf>
    <xf numFmtId="0" fontId="17" fillId="0" borderId="0" xfId="0" applyFont="1"/>
    <xf numFmtId="2" fontId="17" fillId="0" borderId="0" xfId="0" applyNumberFormat="1" applyFont="1"/>
    <xf numFmtId="0" fontId="18" fillId="0" borderId="0" xfId="0" applyFont="1" applyAlignment="1">
      <alignment horizontal="center"/>
    </xf>
    <xf numFmtId="2" fontId="18" fillId="0" borderId="0" xfId="0" applyNumberFormat="1" applyFont="1" applyAlignment="1">
      <alignment horizontal="center"/>
    </xf>
    <xf numFmtId="0" fontId="21" fillId="0" borderId="0" xfId="0" applyFont="1"/>
    <xf numFmtId="0" fontId="24" fillId="0" borderId="6" xfId="0" applyFont="1" applyBorder="1" applyAlignment="1">
      <alignment horizontal="left" vertical="center" wrapText="1"/>
    </xf>
    <xf numFmtId="0" fontId="23" fillId="12" borderId="3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0" fillId="0" borderId="9" xfId="0" applyBorder="1"/>
    <xf numFmtId="0" fontId="19" fillId="0" borderId="9" xfId="0" applyFont="1" applyBorder="1"/>
    <xf numFmtId="0" fontId="10" fillId="4" borderId="0" xfId="0" applyFont="1" applyFill="1" applyAlignment="1">
      <alignment horizontal="center" vertical="center"/>
    </xf>
    <xf numFmtId="0" fontId="11" fillId="4" borderId="0" xfId="0" applyFont="1" applyFill="1" applyAlignment="1">
      <alignment horizontal="center"/>
    </xf>
    <xf numFmtId="0" fontId="22" fillId="0" borderId="1" xfId="0" applyFont="1" applyBorder="1" applyAlignment="1">
      <alignment horizontal="left" vertical="center" wrapText="1"/>
    </xf>
    <xf numFmtId="0" fontId="22" fillId="0" borderId="7" xfId="0" applyFont="1" applyBorder="1" applyAlignment="1">
      <alignment horizontal="left" vertical="center" wrapText="1"/>
    </xf>
    <xf numFmtId="0" fontId="15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4" fillId="0" borderId="0" xfId="0" applyFont="1" applyAlignment="1">
      <alignment vertical="center"/>
    </xf>
    <xf numFmtId="0" fontId="0" fillId="0" borderId="0" xfId="0"/>
    <xf numFmtId="0" fontId="33" fillId="12" borderId="7" xfId="0" applyFont="1" applyFill="1" applyBorder="1" applyAlignment="1">
      <alignment horizontal="center" vertical="center"/>
    </xf>
    <xf numFmtId="0" fontId="33" fillId="12" borderId="6" xfId="0" applyFont="1" applyFill="1" applyBorder="1" applyAlignment="1">
      <alignment horizontal="center" vertical="center"/>
    </xf>
    <xf numFmtId="0" fontId="33" fillId="12" borderId="10" xfId="0" applyFont="1" applyFill="1" applyBorder="1" applyAlignment="1">
      <alignment horizontal="center" vertical="center"/>
    </xf>
    <xf numFmtId="0" fontId="33" fillId="13" borderId="7" xfId="0" applyFont="1" applyFill="1" applyBorder="1" applyAlignment="1">
      <alignment horizontal="center" vertical="center"/>
    </xf>
    <xf numFmtId="0" fontId="33" fillId="13" borderId="6" xfId="0" applyFont="1" applyFill="1" applyBorder="1" applyAlignment="1">
      <alignment horizontal="center" vertical="center"/>
    </xf>
    <xf numFmtId="168" fontId="34" fillId="10" borderId="3" xfId="0" applyNumberFormat="1" applyFont="1" applyFill="1" applyBorder="1" applyAlignment="1">
      <alignment horizontal="center" vertical="center"/>
    </xf>
    <xf numFmtId="168" fontId="34" fillId="11" borderId="3" xfId="0" applyNumberFormat="1" applyFont="1" applyFill="1" applyBorder="1" applyAlignment="1">
      <alignment horizontal="center" vertical="center"/>
    </xf>
    <xf numFmtId="168" fontId="34" fillId="10" borderId="4" xfId="0" applyNumberFormat="1" applyFont="1" applyFill="1" applyBorder="1" applyAlignment="1">
      <alignment horizontal="center" vertical="center"/>
    </xf>
    <xf numFmtId="169" fontId="34" fillId="10" borderId="3" xfId="0" applyNumberFormat="1" applyFont="1" applyFill="1" applyBorder="1" applyAlignment="1">
      <alignment horizontal="center" vertical="center"/>
    </xf>
    <xf numFmtId="170" fontId="34" fillId="10" borderId="3" xfId="0" applyNumberFormat="1" applyFont="1" applyFill="1" applyBorder="1" applyAlignment="1">
      <alignment horizontal="center" vertical="center"/>
    </xf>
    <xf numFmtId="172" fontId="34" fillId="10" borderId="3" xfId="0" applyNumberFormat="1" applyFont="1" applyFill="1" applyBorder="1" applyAlignment="1">
      <alignment horizontal="center" vertical="center"/>
    </xf>
    <xf numFmtId="168" fontId="34" fillId="11" borderId="4" xfId="0" applyNumberFormat="1" applyFont="1" applyFill="1" applyBorder="1" applyAlignment="1">
      <alignment horizontal="center" vertical="center"/>
    </xf>
    <xf numFmtId="169" fontId="34" fillId="11" borderId="3" xfId="0" applyNumberFormat="1" applyFont="1" applyFill="1" applyBorder="1" applyAlignment="1">
      <alignment horizontal="center" vertical="center"/>
    </xf>
    <xf numFmtId="170" fontId="34" fillId="11" borderId="3" xfId="0" applyNumberFormat="1" applyFont="1" applyFill="1" applyBorder="1" applyAlignment="1">
      <alignment horizontal="center" vertical="center"/>
    </xf>
    <xf numFmtId="172" fontId="34" fillId="11" borderId="3" xfId="0" applyNumberFormat="1" applyFont="1" applyFill="1" applyBorder="1" applyAlignment="1">
      <alignment horizontal="center" vertical="center"/>
    </xf>
    <xf numFmtId="168" fontId="31" fillId="14" borderId="4" xfId="0" applyNumberFormat="1" applyFont="1" applyFill="1" applyBorder="1" applyAlignment="1">
      <alignment horizontal="center" vertical="center"/>
    </xf>
    <xf numFmtId="168" fontId="34" fillId="14" borderId="3" xfId="0" applyNumberFormat="1" applyFont="1" applyFill="1" applyBorder="1" applyAlignment="1">
      <alignment horizontal="center" vertical="center"/>
    </xf>
    <xf numFmtId="169" fontId="34" fillId="14" borderId="3" xfId="0" applyNumberFormat="1" applyFont="1" applyFill="1" applyBorder="1" applyAlignment="1">
      <alignment horizontal="center" vertical="center"/>
    </xf>
    <xf numFmtId="170" fontId="31" fillId="14" borderId="3" xfId="0" applyNumberFormat="1" applyFont="1" applyFill="1" applyBorder="1" applyAlignment="1">
      <alignment horizontal="center" vertical="center"/>
    </xf>
    <xf numFmtId="0" fontId="31" fillId="14" borderId="3" xfId="0" applyFont="1" applyFill="1" applyBorder="1" applyAlignment="1">
      <alignment horizontal="center" vertical="center"/>
    </xf>
    <xf numFmtId="168" fontId="34" fillId="11" borderId="11" xfId="0" applyNumberFormat="1" applyFont="1" applyFill="1" applyBorder="1" applyAlignment="1">
      <alignment horizontal="center" vertical="center"/>
    </xf>
    <xf numFmtId="168" fontId="34" fillId="11" borderId="12" xfId="0" applyNumberFormat="1" applyFont="1" applyFill="1" applyBorder="1" applyAlignment="1">
      <alignment horizontal="center" vertical="center"/>
    </xf>
    <xf numFmtId="170" fontId="34" fillId="11" borderId="12" xfId="0" applyNumberFormat="1" applyFont="1" applyFill="1" applyBorder="1" applyAlignment="1">
      <alignment horizontal="center" vertical="center"/>
    </xf>
    <xf numFmtId="172" fontId="34" fillId="11" borderId="12" xfId="0" applyNumberFormat="1" applyFont="1" applyFill="1" applyBorder="1" applyAlignment="1">
      <alignment horizontal="center" vertical="center"/>
    </xf>
    <xf numFmtId="0" fontId="31" fillId="10" borderId="4" xfId="0" applyFont="1" applyFill="1" applyBorder="1" applyAlignment="1">
      <alignment horizontal="left" vertical="center"/>
    </xf>
    <xf numFmtId="170" fontId="34" fillId="10" borderId="8" xfId="0" applyNumberFormat="1" applyFont="1" applyFill="1" applyBorder="1" applyAlignment="1">
      <alignment horizontal="center" vertical="center"/>
    </xf>
    <xf numFmtId="0" fontId="31" fillId="11" borderId="11" xfId="0" applyFont="1" applyFill="1" applyBorder="1" applyAlignment="1">
      <alignment horizontal="left" vertical="center"/>
    </xf>
    <xf numFmtId="170" fontId="34" fillId="11" borderId="13" xfId="0" applyNumberFormat="1" applyFont="1" applyFill="1" applyBorder="1" applyAlignment="1">
      <alignment horizontal="center" vertical="center"/>
    </xf>
    <xf numFmtId="0" fontId="31" fillId="10" borderId="3" xfId="0" applyFont="1" applyFill="1" applyBorder="1" applyAlignment="1">
      <alignment horizontal="left" vertical="center"/>
    </xf>
    <xf numFmtId="0" fontId="37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38" fillId="0" borderId="2" xfId="0" applyFont="1" applyBorder="1" applyAlignment="1">
      <alignment horizontal="center" vertical="center"/>
    </xf>
    <xf numFmtId="0" fontId="39" fillId="0" borderId="14" xfId="0" applyFont="1" applyBorder="1" applyAlignment="1">
      <alignment horizontal="center"/>
    </xf>
    <xf numFmtId="0" fontId="22" fillId="10" borderId="6" xfId="0" applyFont="1" applyFill="1" applyBorder="1" applyAlignment="1">
      <alignment horizontal="left" vertical="center" wrapText="1"/>
    </xf>
    <xf numFmtId="170" fontId="26" fillId="10" borderId="7" xfId="0" applyNumberFormat="1" applyFont="1" applyFill="1" applyBorder="1" applyAlignment="1">
      <alignment horizontal="center" vertical="center" wrapText="1"/>
    </xf>
    <xf numFmtId="170" fontId="24" fillId="10" borderId="7" xfId="0" applyNumberFormat="1" applyFont="1" applyFill="1" applyBorder="1" applyAlignment="1">
      <alignment horizontal="center" vertical="center"/>
    </xf>
    <xf numFmtId="171" fontId="27" fillId="10" borderId="7" xfId="0" applyNumberFormat="1" applyFont="1" applyFill="1" applyBorder="1" applyAlignment="1">
      <alignment horizontal="center" vertical="center" wrapText="1"/>
    </xf>
    <xf numFmtId="167" fontId="24" fillId="10" borderId="7" xfId="0" applyNumberFormat="1" applyFont="1" applyFill="1" applyBorder="1" applyAlignment="1">
      <alignment horizontal="center" vertical="center" wrapText="1"/>
    </xf>
    <xf numFmtId="0" fontId="24" fillId="10" borderId="7" xfId="0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left" vertical="center" wrapText="1"/>
    </xf>
    <xf numFmtId="167" fontId="24" fillId="11" borderId="7" xfId="0" applyNumberFormat="1" applyFont="1" applyFill="1" applyBorder="1" applyAlignment="1">
      <alignment horizontal="center" vertical="center" wrapText="1"/>
    </xf>
    <xf numFmtId="0" fontId="24" fillId="11" borderId="7" xfId="0" applyFont="1" applyFill="1" applyBorder="1" applyAlignment="1">
      <alignment horizontal="center" vertical="center" wrapText="1"/>
    </xf>
    <xf numFmtId="0" fontId="23" fillId="12" borderId="8" xfId="0" applyFont="1" applyFill="1" applyBorder="1" applyAlignment="1">
      <alignment horizontal="center" vertical="center" wrapText="1"/>
    </xf>
    <xf numFmtId="0" fontId="23" fillId="12" borderId="5" xfId="0" applyFont="1" applyFill="1" applyBorder="1" applyAlignment="1">
      <alignment horizontal="center" vertical="center" wrapText="1"/>
    </xf>
    <xf numFmtId="0" fontId="23" fillId="12" borderId="4" xfId="0" applyFont="1" applyFill="1" applyBorder="1" applyAlignment="1">
      <alignment horizontal="center" vertical="center" wrapText="1"/>
    </xf>
    <xf numFmtId="0" fontId="28" fillId="10" borderId="6" xfId="0" applyFont="1" applyFill="1" applyBorder="1" applyAlignment="1">
      <alignment horizontal="center" vertical="center" wrapText="1"/>
    </xf>
    <xf numFmtId="0" fontId="28" fillId="10" borderId="7" xfId="0" applyFont="1" applyFill="1" applyBorder="1" applyAlignment="1">
      <alignment horizontal="center" vertical="center" wrapText="1"/>
    </xf>
    <xf numFmtId="0" fontId="24" fillId="10" borderId="8" xfId="0" applyFont="1" applyFill="1" applyBorder="1" applyAlignment="1">
      <alignment horizontal="left" vertical="center" wrapText="1"/>
    </xf>
    <xf numFmtId="0" fontId="24" fillId="10" borderId="5" xfId="0" applyFont="1" applyFill="1" applyBorder="1" applyAlignment="1">
      <alignment horizontal="left" vertical="center" wrapText="1"/>
    </xf>
    <xf numFmtId="0" fontId="24" fillId="10" borderId="4" xfId="0" applyFont="1" applyFill="1" applyBorder="1" applyAlignment="1">
      <alignment horizontal="left" vertical="center" wrapText="1"/>
    </xf>
    <xf numFmtId="0" fontId="25" fillId="11" borderId="6" xfId="0" applyFont="1" applyFill="1" applyBorder="1" applyAlignment="1">
      <alignment horizontal="center" vertical="center" wrapText="1"/>
    </xf>
    <xf numFmtId="0" fontId="25" fillId="11" borderId="7" xfId="0" applyFont="1" applyFill="1" applyBorder="1" applyAlignment="1">
      <alignment horizontal="center" vertical="center" wrapText="1"/>
    </xf>
    <xf numFmtId="0" fontId="24" fillId="11" borderId="8" xfId="0" applyFont="1" applyFill="1" applyBorder="1" applyAlignment="1">
      <alignment horizontal="left" vertical="center" wrapText="1"/>
    </xf>
    <xf numFmtId="0" fontId="24" fillId="11" borderId="5" xfId="0" applyFont="1" applyFill="1" applyBorder="1" applyAlignment="1">
      <alignment horizontal="left" vertical="center" wrapText="1"/>
    </xf>
    <xf numFmtId="0" fontId="24" fillId="11" borderId="4" xfId="0" applyFont="1" applyFill="1" applyBorder="1" applyAlignment="1">
      <alignment horizontal="left" vertical="center" wrapText="1"/>
    </xf>
    <xf numFmtId="0" fontId="29" fillId="10" borderId="6" xfId="0" applyFont="1" applyFill="1" applyBorder="1" applyAlignment="1">
      <alignment horizontal="center" vertical="center" wrapText="1"/>
    </xf>
    <xf numFmtId="0" fontId="29" fillId="10" borderId="7" xfId="0" applyFont="1" applyFill="1" applyBorder="1" applyAlignment="1">
      <alignment horizontal="center" vertical="center" wrapText="1"/>
    </xf>
    <xf numFmtId="0" fontId="22" fillId="11" borderId="6" xfId="0" applyFont="1" applyFill="1" applyBorder="1" applyAlignment="1">
      <alignment horizontal="center" vertical="center" wrapText="1"/>
    </xf>
    <xf numFmtId="0" fontId="22" fillId="11" borderId="7" xfId="0" applyFont="1" applyFill="1" applyBorder="1" applyAlignment="1">
      <alignment horizontal="center" vertical="center" wrapText="1"/>
    </xf>
    <xf numFmtId="0" fontId="40" fillId="0" borderId="9" xfId="0" applyFont="1" applyBorder="1" applyAlignment="1">
      <alignment vertical="center"/>
    </xf>
    <xf numFmtId="0" fontId="41" fillId="6" borderId="9" xfId="0" applyFont="1" applyFill="1" applyBorder="1" applyAlignment="1">
      <alignment horizontal="center"/>
    </xf>
    <xf numFmtId="9" fontId="41" fillId="6" borderId="9" xfId="0" applyNumberFormat="1" applyFont="1" applyFill="1" applyBorder="1" applyAlignment="1">
      <alignment horizontal="center"/>
    </xf>
    <xf numFmtId="9" fontId="41" fillId="6" borderId="9" xfId="2" applyFont="1" applyFill="1" applyBorder="1" applyAlignment="1">
      <alignment horizontal="center"/>
    </xf>
    <xf numFmtId="164" fontId="42" fillId="5" borderId="9" xfId="0" applyNumberFormat="1" applyFont="1" applyFill="1" applyBorder="1" applyAlignment="1">
      <alignment vertical="center"/>
    </xf>
    <xf numFmtId="0" fontId="40" fillId="0" borderId="15" xfId="0" applyFont="1" applyBorder="1" applyAlignment="1">
      <alignment vertical="center"/>
    </xf>
    <xf numFmtId="164" fontId="42" fillId="5" borderId="15" xfId="0" applyNumberFormat="1" applyFont="1" applyFill="1" applyBorder="1" applyAlignment="1">
      <alignment vertical="center"/>
    </xf>
    <xf numFmtId="0" fontId="0" fillId="0" borderId="15" xfId="0" applyBorder="1"/>
    <xf numFmtId="168" fontId="34" fillId="11" borderId="0" xfId="0" applyNumberFormat="1" applyFont="1" applyFill="1" applyBorder="1" applyAlignment="1">
      <alignment horizontal="center" vertical="center"/>
    </xf>
    <xf numFmtId="169" fontId="24" fillId="11" borderId="0" xfId="0" applyNumberFormat="1" applyFont="1" applyFill="1" applyBorder="1" applyAlignment="1">
      <alignment horizontal="center" vertical="center"/>
    </xf>
    <xf numFmtId="170" fontId="35" fillId="11" borderId="0" xfId="0" applyNumberFormat="1" applyFont="1" applyFill="1" applyBorder="1" applyAlignment="1">
      <alignment horizontal="center" vertical="center"/>
    </xf>
    <xf numFmtId="168" fontId="31" fillId="14" borderId="0" xfId="0" applyNumberFormat="1" applyFont="1" applyFill="1" applyBorder="1" applyAlignment="1">
      <alignment horizontal="center" vertical="center"/>
    </xf>
    <xf numFmtId="169" fontId="24" fillId="14" borderId="0" xfId="0" applyNumberFormat="1" applyFont="1" applyFill="1" applyBorder="1" applyAlignment="1">
      <alignment horizontal="center" vertical="center"/>
    </xf>
    <xf numFmtId="170" fontId="36" fillId="14" borderId="0" xfId="0" applyNumberFormat="1" applyFont="1" applyFill="1" applyBorder="1" applyAlignment="1">
      <alignment horizontal="center" vertical="center"/>
    </xf>
    <xf numFmtId="169" fontId="24" fillId="10" borderId="0" xfId="0" applyNumberFormat="1" applyFont="1" applyFill="1" applyBorder="1" applyAlignment="1">
      <alignment horizontal="center" vertical="center"/>
    </xf>
    <xf numFmtId="170" fontId="35" fillId="10" borderId="0" xfId="0" applyNumberFormat="1" applyFont="1" applyFill="1" applyBorder="1" applyAlignment="1">
      <alignment horizontal="center" vertical="center"/>
    </xf>
    <xf numFmtId="0" fontId="31" fillId="0" borderId="0" xfId="0" applyFont="1" applyBorder="1" applyAlignment="1">
      <alignment horizontal="left" vertical="center" wrapText="1"/>
    </xf>
    <xf numFmtId="0" fontId="23" fillId="9" borderId="0" xfId="0" applyFont="1" applyFill="1" applyBorder="1" applyAlignment="1">
      <alignment horizontal="center" vertical="center" wrapText="1"/>
    </xf>
    <xf numFmtId="0" fontId="20" fillId="0" borderId="0" xfId="0" applyFont="1" applyBorder="1" applyAlignment="1">
      <alignment horizontal="left" vertical="center" wrapText="1"/>
    </xf>
    <xf numFmtId="0" fontId="21" fillId="0" borderId="0" xfId="0" applyFont="1" applyBorder="1"/>
    <xf numFmtId="170" fontId="24" fillId="10" borderId="1" xfId="0" applyNumberFormat="1" applyFont="1" applyFill="1" applyBorder="1" applyAlignment="1">
      <alignment horizontal="center" vertical="center" wrapText="1"/>
    </xf>
    <xf numFmtId="170" fontId="24" fillId="11" borderId="1" xfId="0" applyNumberFormat="1" applyFont="1" applyFill="1" applyBorder="1" applyAlignment="1">
      <alignment horizontal="center" vertical="center" wrapText="1"/>
    </xf>
    <xf numFmtId="170" fontId="25" fillId="14" borderId="1" xfId="0" applyNumberFormat="1" applyFont="1" applyFill="1" applyBorder="1" applyAlignment="1">
      <alignment horizontal="center" vertical="center" wrapText="1"/>
    </xf>
    <xf numFmtId="0" fontId="22" fillId="0" borderId="0" xfId="0" applyFont="1" applyBorder="1" applyAlignment="1">
      <alignment horizontal="left" vertical="center" wrapText="1"/>
    </xf>
    <xf numFmtId="0" fontId="20" fillId="10" borderId="0" xfId="0" applyFont="1" applyFill="1" applyBorder="1" applyAlignment="1">
      <alignment horizontal="left" vertical="center" wrapText="1"/>
    </xf>
    <xf numFmtId="0" fontId="20" fillId="11" borderId="0" xfId="0" applyFont="1" applyFill="1" applyBorder="1" applyAlignment="1">
      <alignment horizontal="left" vertical="center" wrapText="1"/>
    </xf>
    <xf numFmtId="0" fontId="23" fillId="12" borderId="6" xfId="0" applyFont="1" applyFill="1" applyBorder="1" applyAlignment="1">
      <alignment horizontal="center" vertical="center" wrapText="1"/>
    </xf>
    <xf numFmtId="0" fontId="23" fillId="12" borderId="1" xfId="0" applyFont="1" applyFill="1" applyBorder="1" applyAlignment="1">
      <alignment horizontal="center" vertical="center" wrapText="1"/>
    </xf>
    <xf numFmtId="0" fontId="30" fillId="0" borderId="0" xfId="0" applyFont="1" applyBorder="1" applyAlignment="1">
      <alignment horizontal="center" vertical="center" wrapText="1"/>
    </xf>
    <xf numFmtId="168" fontId="43" fillId="8" borderId="1" xfId="0" applyNumberFormat="1" applyFont="1" applyFill="1" applyBorder="1" applyAlignment="1">
      <alignment horizontal="center" vertical="center" wrapText="1"/>
    </xf>
    <xf numFmtId="169" fontId="43" fillId="8" borderId="1" xfId="0" applyNumberFormat="1" applyFont="1" applyFill="1" applyBorder="1" applyAlignment="1">
      <alignment horizontal="center" vertical="center" wrapText="1"/>
    </xf>
    <xf numFmtId="166" fontId="43" fillId="8" borderId="1" xfId="0" applyNumberFormat="1" applyFont="1" applyFill="1" applyBorder="1" applyAlignment="1">
      <alignment horizontal="center" vertical="center" wrapText="1"/>
    </xf>
    <xf numFmtId="0" fontId="32" fillId="0" borderId="0" xfId="0" applyFont="1"/>
    <xf numFmtId="168" fontId="34" fillId="11" borderId="0" xfId="0" applyNumberFormat="1" applyFont="1" applyFill="1" applyBorder="1" applyAlignment="1">
      <alignment horizontal="left" vertical="center"/>
    </xf>
    <xf numFmtId="168" fontId="38" fillId="10" borderId="0" xfId="0" applyNumberFormat="1" applyFont="1" applyFill="1" applyBorder="1" applyAlignment="1">
      <alignment horizontal="center" vertical="center"/>
    </xf>
  </cellXfs>
  <cellStyles count="3">
    <cellStyle name="Currency" xfId="1" builtinId="4"/>
    <cellStyle name="Normal" xfId="0" builtinId="0"/>
    <cellStyle name="Percent" xfId="2" builtinId="5"/>
  </cellStyles>
  <dxfs count="21">
    <dxf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fill>
        <patternFill patternType="solid">
          <bgColor theme="0"/>
        </patternFill>
      </fill>
    </dxf>
    <dxf>
      <font>
        <strike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fill>
        <patternFill patternType="solid">
          <bgColor theme="0"/>
        </patternFill>
      </fill>
      <border outline="0">
        <right style="thin">
          <color rgb="FFBFBFBF"/>
        </right>
      </border>
    </dxf>
    <dxf>
      <font>
        <strike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fill>
        <patternFill patternType="solid">
          <bgColor theme="0"/>
        </patternFill>
      </fill>
      <border outline="0">
        <left style="thin">
          <color rgb="FFBFBFBF"/>
        </left>
        <right style="thin">
          <color rgb="FFBFBFBF"/>
        </right>
      </border>
    </dxf>
    <dxf>
      <font>
        <strike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fill>
        <patternFill patternType="solid">
          <bgColor theme="0"/>
        </patternFill>
      </fill>
      <border outline="0">
        <right style="thin">
          <color rgb="FFBFBFBF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fill>
        <patternFill patternType="solid">
          <fgColor rgb="FFFFF2CC"/>
          <bgColor theme="0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fill>
        <patternFill patternType="solid"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numFmt numFmtId="170" formatCode="\$#,##0.00"/>
      <fill>
        <patternFill patternType="solid">
          <fgColor rgb="FFFFF2C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numFmt numFmtId="169" formatCode="#,##0.0"/>
      <fill>
        <patternFill patternType="solid">
          <fgColor rgb="FFFFF2C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numFmt numFmtId="168" formatCode="\$#,##0"/>
      <fill>
        <patternFill patternType="solid">
          <fgColor rgb="FFFFF2C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numFmt numFmtId="168" formatCode="\$#,##0"/>
      <fill>
        <patternFill patternType="solid">
          <fgColor rgb="FFFFF2C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numFmt numFmtId="168" formatCode="\$#,##0"/>
      <fill>
        <patternFill patternType="solid">
          <fgColor rgb="FFFFF2C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5" tint="-0.249977111117893"/>
        <name val="Cambria"/>
        <family val="1"/>
        <scheme val="none"/>
      </font>
      <numFmt numFmtId="168" formatCode="\$#,##0"/>
      <fill>
        <patternFill patternType="solid">
          <fgColor rgb="FFFFF2CC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solid">
          <fgColor rgb="FF003366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mbria"/>
        <family val="1"/>
        <scheme val="none"/>
      </font>
      <fill>
        <patternFill patternType="solid">
          <fgColor rgb="FF0066CC"/>
          <bgColor theme="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top style="thin">
          <color rgb="FFBFBFBF"/>
        </top>
      </border>
    </dxf>
    <dxf>
      <border outline="0">
        <bottom style="thin">
          <color rgb="FFBFBFBF"/>
        </bottom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406400</xdr:colOff>
      <xdr:row>66</xdr:row>
      <xdr:rowOff>127000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544E2203-67C9-9C6D-CA9B-FB268818304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25400</xdr:colOff>
      <xdr:row>66</xdr:row>
      <xdr:rowOff>127000</xdr:rowOff>
    </xdr:to>
    <xdr:sp macro="" textlink="">
      <xdr:nvSpPr>
        <xdr:cNvPr id="2058" name="Text Box 10" hidden="1">
          <a:extLst>
            <a:ext uri="{FF2B5EF4-FFF2-40B4-BE49-F238E27FC236}">
              <a16:creationId xmlns:a16="http://schemas.microsoft.com/office/drawing/2014/main" id="{4FEB2AD4-39BD-FF71-BB8C-04C09A26E124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omi/Downloads/CAC_Solver_Model%20(1).xlsx" TargetMode="External"/><Relationship Id="rId1" Type="http://schemas.openxmlformats.org/officeDocument/2006/relationships/externalLinkPath" Target="/Users/omi/Downloads/CAC_Solver_Model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hannel Summary"/>
      <sheetName val="Inputs"/>
      <sheetName val="Solver Table"/>
      <sheetName val="Solver Model"/>
      <sheetName val="Summary"/>
      <sheetName val="Budget Sensitivity"/>
    </sheetNames>
    <sheetDataSet>
      <sheetData sheetId="0">
        <row r="2">
          <cell r="I2">
            <v>54.094758499999998</v>
          </cell>
        </row>
        <row r="3">
          <cell r="I3">
            <v>102.716038</v>
          </cell>
        </row>
        <row r="4">
          <cell r="I4">
            <v>114.034615</v>
          </cell>
        </row>
      </sheetData>
      <sheetData sheetId="1"/>
      <sheetData sheetId="2">
        <row r="2">
          <cell r="E2">
            <v>220000</v>
          </cell>
          <cell r="F2">
            <v>150000</v>
          </cell>
        </row>
        <row r="3">
          <cell r="E3">
            <v>35253</v>
          </cell>
          <cell r="F3">
            <v>15000</v>
          </cell>
        </row>
        <row r="4">
          <cell r="E4">
            <v>80000</v>
          </cell>
          <cell r="F4">
            <v>40000</v>
          </cell>
        </row>
      </sheetData>
      <sheetData sheetId="3"/>
      <sheetData sheetId="4"/>
      <sheetData sheetId="5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241648-55A3-3145-AB34-5EE96C05B2AA}" name="Table1" displayName="Table1" ref="A5:D7" totalsRowShown="0" headerRowDxfId="17" dataDxfId="0" headerRowBorderDxfId="19" tableBorderDxfId="20" totalsRowBorderDxfId="18">
  <autoFilter ref="A5:D7" xr:uid="{0F241648-55A3-3145-AB34-5EE96C05B2AA}"/>
  <tableColumns count="4">
    <tableColumn id="1" xr3:uid="{B723886E-C1C9-E74F-836D-7DEDBA849825}" name=" " dataDxfId="4"/>
    <tableColumn id="2" xr3:uid="{0F66C267-C4AA-A145-A011-954A842F2768}" name="Min Budget ($)" dataDxfId="3">
      <calculatedColumnFormula>'[1]Solver Table'!F2</calculatedColumnFormula>
    </tableColumn>
    <tableColumn id="3" xr3:uid="{886AD696-B74B-FA4F-989C-39FADA645B10}" name="Max Budget ($)" dataDxfId="2">
      <calculatedColumnFormula>'[1]Solver Table'!E2</calculatedColumnFormula>
    </tableColumn>
    <tableColumn id="4" xr3:uid="{74F504AE-6754-184E-8815-D0E77EF0F77B}" name="CAC ($)" dataDxfId="1">
      <calculatedColumnFormula>'[1]Channel Summary'!I2</calculatedColumnFormula>
    </tableColumn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1EF383E-2643-5A42-BE30-FC276A10D37B}" name="Table2" displayName="Table2" ref="A11:G19" totalsRowShown="0" headerRowDxfId="13" dataDxfId="5" headerRowBorderDxfId="15" tableBorderDxfId="16" totalsRowBorderDxfId="14">
  <autoFilter ref="A11:G19" xr:uid="{81EF383E-2643-5A42-BE30-FC276A10D37B}"/>
  <tableColumns count="7">
    <tableColumn id="1" xr3:uid="{5F8F391C-6EC6-F54B-B743-766542911B39}" name="Total Budget ($)" dataDxfId="12"/>
    <tableColumn id="2" xr3:uid="{CB16B952-448C-9642-AD6B-DEDA018D05C2}" name="Cellular ($)" dataDxfId="11">
      <calculatedColumnFormula>MIN($C$6,MAX($B$6,A12-($B$7+$B$8)))</calculatedColumnFormula>
    </tableColumn>
    <tableColumn id="3" xr3:uid="{9808453E-0111-7346-9D68-CB28077A1EAC}" name="Unknown ($)" dataDxfId="10">
      <calculatedColumnFormula>MIN($C$7,MAX($B$7,A12-B12-$B$8))</calculatedColumnFormula>
    </tableColumn>
    <tableColumn id="4" xr3:uid="{B569E7BB-AE70-0841-B29B-121F79819862}" name="Telephone ($)" dataDxfId="9">
      <calculatedColumnFormula>MIN($C$8,MAX($B$8,A12-B12-C12))</calculatedColumnFormula>
    </tableColumn>
    <tableColumn id="5" xr3:uid="{C80FCD01-FCC3-0941-8C65-5599C838998A}" name="Total Customers" dataDxfId="8">
      <calculatedColumnFormula>B12/$D$6+C12/$D$7+D12/$D$8</calculatedColumnFormula>
    </tableColumn>
    <tableColumn id="6" xr3:uid="{EEFCC583-FB95-7049-B666-7B1B3B24A089}" name="Overall CAC ($)" dataDxfId="7">
      <calculatedColumnFormula>A12/E12</calculatedColumnFormula>
    </tableColumn>
    <tableColumn id="7" xr3:uid="{409CD337-1B12-0249-98B7-9D0A8B258EAF}" name="CAC vs Base" dataDxfId="6">
      <calculatedColumnFormula>F12-$F$16</calculatedColumnFormula>
    </tableColumn>
  </tableColumns>
  <tableStyleInfo name="TableStyleDark8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showGridLines="0" topLeftCell="A2" workbookViewId="0">
      <selection activeCell="E5" sqref="E5:E7"/>
    </sheetView>
  </sheetViews>
  <sheetFormatPr baseColWidth="10" defaultColWidth="8.83203125" defaultRowHeight="15" x14ac:dyDescent="0.2"/>
  <cols>
    <col min="1" max="1" width="26" customWidth="1"/>
    <col min="2" max="2" width="27.33203125" customWidth="1"/>
    <col min="3" max="3" width="4" customWidth="1"/>
    <col min="4" max="4" width="20.83203125" customWidth="1"/>
    <col min="5" max="5" width="18" customWidth="1"/>
    <col min="6" max="6" width="38" customWidth="1"/>
  </cols>
  <sheetData>
    <row r="1" spans="1:6" ht="19" x14ac:dyDescent="0.25">
      <c r="A1" s="49" t="s">
        <v>0</v>
      </c>
      <c r="B1" s="50"/>
      <c r="C1" s="50"/>
      <c r="D1" s="50"/>
      <c r="E1" s="50"/>
      <c r="F1" s="50"/>
    </row>
    <row r="3" spans="1:6" x14ac:dyDescent="0.2">
      <c r="A3" s="7" t="s">
        <v>1</v>
      </c>
      <c r="D3" s="7" t="s">
        <v>2</v>
      </c>
    </row>
    <row r="4" spans="1:6" x14ac:dyDescent="0.2">
      <c r="A4" s="1" t="s">
        <v>3</v>
      </c>
      <c r="B4" s="8">
        <f>SUM('Channel Summary'!F2:F4)</f>
        <v>335253</v>
      </c>
      <c r="D4" s="2" t="s">
        <v>4</v>
      </c>
      <c r="E4" s="2" t="s">
        <v>5</v>
      </c>
      <c r="F4" s="20"/>
    </row>
    <row r="5" spans="1:6" x14ac:dyDescent="0.2">
      <c r="A5" s="1" t="s">
        <v>6</v>
      </c>
      <c r="B5" s="9">
        <f>SUM('Channel Summary'!C2:C4)</f>
        <v>5289</v>
      </c>
      <c r="D5" s="1" t="s">
        <v>7</v>
      </c>
      <c r="E5" s="8">
        <v>3</v>
      </c>
      <c r="F5" s="3"/>
    </row>
    <row r="6" spans="1:6" x14ac:dyDescent="0.2">
      <c r="A6" s="1" t="s">
        <v>8</v>
      </c>
      <c r="B6" s="10" t="s">
        <v>9</v>
      </c>
      <c r="D6" s="1" t="s">
        <v>10</v>
      </c>
      <c r="E6" s="8">
        <v>4.5</v>
      </c>
      <c r="F6" s="3"/>
    </row>
    <row r="7" spans="1:6" x14ac:dyDescent="0.2">
      <c r="D7" s="1" t="s">
        <v>11</v>
      </c>
      <c r="E7" s="8">
        <v>1.5</v>
      </c>
      <c r="F7" s="3"/>
    </row>
    <row r="8" spans="1:6" x14ac:dyDescent="0.2">
      <c r="A8" s="3"/>
    </row>
    <row r="9" spans="1:6" x14ac:dyDescent="0.2">
      <c r="A9" s="3"/>
    </row>
    <row r="10" spans="1:6" x14ac:dyDescent="0.2">
      <c r="A10" s="3"/>
    </row>
    <row r="11" spans="1:6" x14ac:dyDescent="0.2">
      <c r="A11" s="3"/>
    </row>
  </sheetData>
  <mergeCells count="1">
    <mergeCell ref="A1:F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574BD-BD07-E84B-A21B-BB00439DE3C9}">
  <dimension ref="A1:J9"/>
  <sheetViews>
    <sheetView showGridLines="0" topLeftCell="E1" workbookViewId="0">
      <selection activeCell="J13" sqref="J13"/>
    </sheetView>
  </sheetViews>
  <sheetFormatPr baseColWidth="10" defaultRowHeight="15" x14ac:dyDescent="0.2"/>
  <cols>
    <col min="1" max="1" width="10.83203125" style="30"/>
    <col min="2" max="2" width="19.1640625" style="30" customWidth="1"/>
    <col min="3" max="3" width="20.33203125" style="30" customWidth="1"/>
    <col min="4" max="4" width="18.5" style="30" customWidth="1"/>
    <col min="5" max="5" width="17.33203125" style="30" customWidth="1"/>
    <col min="6" max="6" width="17.5" style="30" customWidth="1"/>
    <col min="7" max="7" width="14.33203125" style="30" customWidth="1"/>
    <col min="8" max="8" width="18.1640625" style="30" customWidth="1"/>
    <col min="9" max="9" width="17.1640625" style="30" customWidth="1"/>
    <col min="10" max="10" width="18.5" style="30" customWidth="1"/>
    <col min="11" max="16384" width="10.83203125" style="30"/>
  </cols>
  <sheetData>
    <row r="1" spans="1:10" ht="16" x14ac:dyDescent="0.2">
      <c r="A1" s="29" t="s">
        <v>29</v>
      </c>
      <c r="B1" s="29" t="s">
        <v>32</v>
      </c>
      <c r="C1" s="29" t="s">
        <v>33</v>
      </c>
      <c r="D1" s="29" t="s">
        <v>34</v>
      </c>
      <c r="E1" s="29" t="s">
        <v>35</v>
      </c>
      <c r="F1" s="29" t="s">
        <v>36</v>
      </c>
      <c r="G1" s="29" t="s">
        <v>37</v>
      </c>
      <c r="H1" s="29" t="s">
        <v>38</v>
      </c>
      <c r="I1" s="29" t="s">
        <v>39</v>
      </c>
      <c r="J1" s="29" t="s">
        <v>40</v>
      </c>
    </row>
    <row r="2" spans="1:10" ht="16" x14ac:dyDescent="0.2">
      <c r="A2" s="31" t="s">
        <v>7</v>
      </c>
      <c r="B2" s="41">
        <v>29285</v>
      </c>
      <c r="C2" s="41">
        <v>4369</v>
      </c>
      <c r="D2" s="41">
        <v>78780</v>
      </c>
      <c r="E2" s="42">
        <v>2.6901143900000002</v>
      </c>
      <c r="F2" s="42">
        <v>236340</v>
      </c>
      <c r="G2" s="42">
        <v>263.01396599999998</v>
      </c>
      <c r="H2" s="42">
        <v>0.14918899999999999</v>
      </c>
      <c r="I2" s="42">
        <v>54.094758499999998</v>
      </c>
      <c r="J2" s="42">
        <v>18.486079400000001</v>
      </c>
    </row>
    <row r="3" spans="1:10" ht="16" x14ac:dyDescent="0.2">
      <c r="A3" s="31" t="s">
        <v>11</v>
      </c>
      <c r="B3" s="41">
        <v>13020</v>
      </c>
      <c r="C3" s="41">
        <v>530</v>
      </c>
      <c r="D3" s="41">
        <v>36293</v>
      </c>
      <c r="E3" s="42">
        <v>2.7874808</v>
      </c>
      <c r="F3" s="42">
        <v>54439.5</v>
      </c>
      <c r="G3" s="42">
        <v>252.340476</v>
      </c>
      <c r="H3" s="42">
        <v>4.0706609999999997E-2</v>
      </c>
      <c r="I3" s="42">
        <v>102.716038</v>
      </c>
      <c r="J3" s="42">
        <v>9.7355780299999992</v>
      </c>
    </row>
    <row r="4" spans="1:10" ht="16" x14ac:dyDescent="0.2">
      <c r="A4" s="31" t="s">
        <v>10</v>
      </c>
      <c r="B4" s="41">
        <v>2906</v>
      </c>
      <c r="C4" s="41">
        <v>390</v>
      </c>
      <c r="D4" s="41">
        <v>9883</v>
      </c>
      <c r="E4" s="42">
        <v>3.4008946999999998</v>
      </c>
      <c r="F4" s="42">
        <v>44473.5</v>
      </c>
      <c r="G4" s="42">
        <v>235.366139</v>
      </c>
      <c r="H4" s="42">
        <v>0.13420509</v>
      </c>
      <c r="I4" s="42">
        <v>114.034615</v>
      </c>
      <c r="J4" s="42">
        <v>8.7692670899999996</v>
      </c>
    </row>
    <row r="5" spans="1:10" ht="16" x14ac:dyDescent="0.2">
      <c r="A5" s="32" t="s">
        <v>30</v>
      </c>
      <c r="B5" s="35">
        <f>SUM(B2:B4)</f>
        <v>45211</v>
      </c>
      <c r="C5" s="35">
        <f t="shared" ref="C5:J5" si="0">SUM(C2:C4)</f>
        <v>5289</v>
      </c>
      <c r="D5" s="35">
        <f t="shared" si="0"/>
        <v>124956</v>
      </c>
      <c r="E5" s="33">
        <f t="shared" si="0"/>
        <v>8.8784898900000009</v>
      </c>
      <c r="F5" s="33">
        <f t="shared" si="0"/>
        <v>335253</v>
      </c>
      <c r="G5" s="33">
        <f t="shared" si="0"/>
        <v>750.72058099999992</v>
      </c>
      <c r="H5" s="33">
        <f t="shared" si="0"/>
        <v>0.32410070000000002</v>
      </c>
      <c r="I5" s="33">
        <f t="shared" si="0"/>
        <v>270.84541149999995</v>
      </c>
      <c r="J5" s="33">
        <f t="shared" si="0"/>
        <v>36.99092452</v>
      </c>
    </row>
    <row r="9" spans="1:10" x14ac:dyDescent="0.2">
      <c r="B9" s="3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E5CAD-4DA9-2F4F-9E78-CA999A65707B}">
  <dimension ref="A1:I5"/>
  <sheetViews>
    <sheetView showGridLines="0" zoomScale="125" workbookViewId="0">
      <selection activeCell="I12" sqref="I12"/>
    </sheetView>
  </sheetViews>
  <sheetFormatPr baseColWidth="10" defaultRowHeight="15" x14ac:dyDescent="0.2"/>
  <cols>
    <col min="2" max="2" width="14.33203125" customWidth="1"/>
    <col min="3" max="3" width="17" customWidth="1"/>
    <col min="4" max="4" width="22.1640625" customWidth="1"/>
    <col min="7" max="7" width="18.6640625" customWidth="1"/>
    <col min="8" max="8" width="20.6640625" customWidth="1"/>
    <col min="9" max="9" width="20.33203125" customWidth="1"/>
  </cols>
  <sheetData>
    <row r="1" spans="1:9" ht="28" customHeight="1" x14ac:dyDescent="0.2">
      <c r="A1" s="21" t="s">
        <v>13</v>
      </c>
      <c r="B1" s="21" t="s">
        <v>39</v>
      </c>
      <c r="C1" s="21" t="s">
        <v>38</v>
      </c>
      <c r="D1" s="21" t="s">
        <v>40</v>
      </c>
      <c r="E1" s="21" t="s">
        <v>41</v>
      </c>
      <c r="F1" s="21" t="s">
        <v>42</v>
      </c>
      <c r="G1" s="21" t="s">
        <v>43</v>
      </c>
      <c r="H1" s="21" t="s">
        <v>44</v>
      </c>
      <c r="I1" s="21" t="s">
        <v>97</v>
      </c>
    </row>
    <row r="2" spans="1:9" ht="17" x14ac:dyDescent="0.2">
      <c r="A2" s="38" t="s">
        <v>7</v>
      </c>
      <c r="B2" s="40">
        <v>54.094758525978399</v>
      </c>
      <c r="C2" s="40">
        <v>0.149189004609868</v>
      </c>
      <c r="D2" s="40">
        <v>18.486079377168402</v>
      </c>
      <c r="E2" s="39">
        <v>220000</v>
      </c>
      <c r="F2" s="39">
        <v>150000</v>
      </c>
      <c r="G2" s="39">
        <v>220000</v>
      </c>
      <c r="H2" s="40">
        <v>4066.93746297706</v>
      </c>
      <c r="I2" s="39" t="str">
        <f>IF(AND(G2&gt;=F2,G2&lt;=E2),"OK","OUT OF RANGE")</f>
        <v>OK</v>
      </c>
    </row>
    <row r="3" spans="1:9" ht="17" x14ac:dyDescent="0.2">
      <c r="A3" s="38" t="s">
        <v>11</v>
      </c>
      <c r="B3" s="40">
        <v>102.716037735849</v>
      </c>
      <c r="C3" s="40">
        <v>4.0706605222734199E-2</v>
      </c>
      <c r="D3" s="40">
        <v>9.7355780269840793</v>
      </c>
      <c r="E3" s="39">
        <v>35253</v>
      </c>
      <c r="F3" s="39">
        <v>15000</v>
      </c>
      <c r="G3" s="39">
        <v>35253</v>
      </c>
      <c r="H3" s="40">
        <v>343.208332185269</v>
      </c>
      <c r="I3" s="39" t="str">
        <f t="shared" ref="I3:I5" si="0">IF(AND(G3&gt;=F3,G3&lt;=E3),"OK","OUT OF RANGE")</f>
        <v>OK</v>
      </c>
    </row>
    <row r="4" spans="1:9" ht="17" x14ac:dyDescent="0.2">
      <c r="A4" s="38" t="s">
        <v>10</v>
      </c>
      <c r="B4" s="40">
        <v>114.03461538461499</v>
      </c>
      <c r="C4" s="40">
        <v>0.13420509291121799</v>
      </c>
      <c r="D4" s="40">
        <v>8.7692670916388398</v>
      </c>
      <c r="E4" s="39">
        <v>80000</v>
      </c>
      <c r="F4" s="39">
        <v>40000</v>
      </c>
      <c r="G4" s="39">
        <v>80000</v>
      </c>
      <c r="H4" s="40">
        <v>701.54136733110704</v>
      </c>
      <c r="I4" s="39" t="str">
        <f>IF(AND(G4&gt;=F4,G4&lt;=E4),"OK","OUT OF RANGE")</f>
        <v>OK</v>
      </c>
    </row>
    <row r="5" spans="1:9" ht="17" x14ac:dyDescent="0.2">
      <c r="A5" s="38" t="s">
        <v>30</v>
      </c>
      <c r="B5" s="40">
        <f>SUM(B2:B4)</f>
        <v>270.84541164644236</v>
      </c>
      <c r="C5" s="40">
        <f t="shared" ref="C5:H5" si="1">SUM(C2:C4)</f>
        <v>0.32410070274382019</v>
      </c>
      <c r="D5" s="40">
        <f t="shared" si="1"/>
        <v>36.990924495791319</v>
      </c>
      <c r="E5" s="39">
        <f t="shared" si="1"/>
        <v>335253</v>
      </c>
      <c r="F5" s="39">
        <f t="shared" si="1"/>
        <v>205000</v>
      </c>
      <c r="G5" s="39">
        <f t="shared" si="1"/>
        <v>335253</v>
      </c>
      <c r="H5" s="40">
        <f t="shared" si="1"/>
        <v>5111.6871624934356</v>
      </c>
      <c r="I5" s="39" t="str">
        <f t="shared" si="0"/>
        <v>OK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7"/>
  <sheetViews>
    <sheetView showGridLines="0" workbookViewId="0">
      <selection activeCell="H5" sqref="H5"/>
    </sheetView>
  </sheetViews>
  <sheetFormatPr baseColWidth="10" defaultColWidth="8.83203125" defaultRowHeight="15" x14ac:dyDescent="0.2"/>
  <cols>
    <col min="1" max="1" width="20.83203125" style="6" customWidth="1"/>
    <col min="2" max="2" width="15" style="6" customWidth="1"/>
    <col min="3" max="3" width="16" style="6" customWidth="1"/>
    <col min="4" max="4" width="20.83203125" style="6" customWidth="1"/>
    <col min="5" max="6" width="14" style="6" customWidth="1"/>
    <col min="7" max="8" width="18" style="6" customWidth="1"/>
    <col min="9" max="16384" width="8.83203125" style="6"/>
  </cols>
  <sheetData>
    <row r="1" spans="1:8" ht="19" x14ac:dyDescent="0.25">
      <c r="A1" s="49" t="s">
        <v>12</v>
      </c>
      <c r="B1" s="50"/>
      <c r="C1" s="50"/>
      <c r="D1" s="50"/>
      <c r="E1" s="50"/>
      <c r="F1" s="50"/>
      <c r="G1" s="50"/>
      <c r="H1" s="50"/>
    </row>
    <row r="2" spans="1:8" x14ac:dyDescent="0.2">
      <c r="A2" s="22" t="s">
        <v>13</v>
      </c>
      <c r="B2" s="22" t="s">
        <v>39</v>
      </c>
      <c r="C2" s="22" t="s">
        <v>38</v>
      </c>
      <c r="D2" s="22" t="s">
        <v>40</v>
      </c>
      <c r="E2" s="22" t="s">
        <v>41</v>
      </c>
      <c r="F2" s="22" t="s">
        <v>42</v>
      </c>
      <c r="G2" s="22" t="s">
        <v>43</v>
      </c>
      <c r="H2" s="22" t="s">
        <v>44</v>
      </c>
    </row>
    <row r="3" spans="1:8" x14ac:dyDescent="0.2">
      <c r="A3" s="11" t="s">
        <v>7</v>
      </c>
      <c r="B3" s="12">
        <f>'Channel Summary'!I2</f>
        <v>54.094758499999998</v>
      </c>
      <c r="C3" s="13">
        <f>'Channel Summary'!H2</f>
        <v>0.14918899999999999</v>
      </c>
      <c r="D3" s="14">
        <f>'Channel Summary'!J2</f>
        <v>18.486079400000001</v>
      </c>
      <c r="E3" s="15">
        <f>'Solver Table'!E2</f>
        <v>220000</v>
      </c>
      <c r="F3" s="15">
        <f>'Solver Table'!F2</f>
        <v>150000</v>
      </c>
      <c r="G3" s="28">
        <v>220000</v>
      </c>
      <c r="H3" s="14">
        <f>G3/B3</f>
        <v>4066.9374649301744</v>
      </c>
    </row>
    <row r="4" spans="1:8" x14ac:dyDescent="0.2">
      <c r="A4" s="11" t="s">
        <v>11</v>
      </c>
      <c r="B4" s="12">
        <f>'Channel Summary'!I3</f>
        <v>102.716038</v>
      </c>
      <c r="C4" s="13">
        <f>'Channel Summary'!H3</f>
        <v>4.0706609999999997E-2</v>
      </c>
      <c r="D4" s="14">
        <f>'Channel Summary'!J3</f>
        <v>9.7355780299999992</v>
      </c>
      <c r="E4" s="15">
        <f>'Solver Table'!E3</f>
        <v>35253</v>
      </c>
      <c r="F4" s="15">
        <f>'Solver Table'!F3</f>
        <v>15000</v>
      </c>
      <c r="G4" s="28">
        <v>35253</v>
      </c>
      <c r="H4" s="14">
        <f>G4/B4</f>
        <v>343.20833130265402</v>
      </c>
    </row>
    <row r="5" spans="1:8" x14ac:dyDescent="0.2">
      <c r="A5" s="11" t="s">
        <v>10</v>
      </c>
      <c r="B5" s="12">
        <f>'Channel Summary'!I4</f>
        <v>114.034615</v>
      </c>
      <c r="C5" s="13">
        <f>'Channel Summary'!H4</f>
        <v>0.13420509</v>
      </c>
      <c r="D5" s="14">
        <f>'Channel Summary'!J4</f>
        <v>8.7692670899999996</v>
      </c>
      <c r="E5" s="15">
        <f>'Solver Table'!E4</f>
        <v>80000</v>
      </c>
      <c r="F5" s="15">
        <f>'Solver Table'!F4</f>
        <v>40000</v>
      </c>
      <c r="G5" s="37">
        <f>'Solver Table'!G4</f>
        <v>80000</v>
      </c>
      <c r="H5" s="14">
        <f>G5/B5</f>
        <v>701.54136969726255</v>
      </c>
    </row>
    <row r="7" spans="1:8" x14ac:dyDescent="0.2">
      <c r="A7" s="23" t="s">
        <v>14</v>
      </c>
      <c r="G7" s="24">
        <f>SUM(G3:G5)</f>
        <v>335253</v>
      </c>
    </row>
    <row r="8" spans="1:8" x14ac:dyDescent="0.2">
      <c r="A8" s="23" t="s">
        <v>15</v>
      </c>
      <c r="H8" s="25">
        <f>SUM(H3:H5)</f>
        <v>5111.6871659300914</v>
      </c>
    </row>
    <row r="9" spans="1:8" x14ac:dyDescent="0.2">
      <c r="A9" s="23" t="s">
        <v>16</v>
      </c>
      <c r="H9" s="26">
        <f>G7/H8</f>
        <v>65.585586347007876</v>
      </c>
    </row>
    <row r="11" spans="1:8" x14ac:dyDescent="0.2">
      <c r="A11" s="27" t="s">
        <v>46</v>
      </c>
    </row>
    <row r="12" spans="1:8" x14ac:dyDescent="0.2">
      <c r="A12" s="54" t="s">
        <v>17</v>
      </c>
      <c r="B12" s="55"/>
      <c r="C12" s="55"/>
      <c r="D12" s="55"/>
      <c r="E12" s="55"/>
      <c r="F12" s="55"/>
      <c r="G12" s="55"/>
      <c r="H12" s="55"/>
    </row>
    <row r="13" spans="1:8" x14ac:dyDescent="0.2">
      <c r="A13" s="54" t="s">
        <v>18</v>
      </c>
      <c r="B13" s="55"/>
      <c r="C13" s="55"/>
      <c r="D13" s="55"/>
      <c r="E13" s="55"/>
      <c r="F13" s="55"/>
      <c r="G13" s="55"/>
      <c r="H13" s="55"/>
    </row>
    <row r="14" spans="1:8" x14ac:dyDescent="0.2">
      <c r="A14" s="54" t="s">
        <v>19</v>
      </c>
      <c r="B14" s="55"/>
      <c r="C14" s="55"/>
      <c r="D14" s="55"/>
      <c r="E14" s="55"/>
      <c r="F14" s="55"/>
      <c r="G14" s="55"/>
      <c r="H14" s="55"/>
    </row>
    <row r="15" spans="1:8" x14ac:dyDescent="0.2">
      <c r="A15" s="54" t="s">
        <v>20</v>
      </c>
      <c r="B15" s="55"/>
      <c r="C15" s="55"/>
      <c r="D15" s="55"/>
      <c r="E15" s="55"/>
      <c r="F15" s="55"/>
      <c r="G15" s="55"/>
      <c r="H15" s="55"/>
    </row>
    <row r="16" spans="1:8" x14ac:dyDescent="0.2">
      <c r="A16" s="54" t="s">
        <v>31</v>
      </c>
      <c r="B16" s="55"/>
      <c r="C16" s="55"/>
      <c r="D16" s="55"/>
      <c r="E16" s="55"/>
      <c r="F16" s="55"/>
      <c r="G16" s="55"/>
      <c r="H16" s="55"/>
    </row>
    <row r="17" spans="1:6" x14ac:dyDescent="0.2">
      <c r="A17" s="53" t="s">
        <v>45</v>
      </c>
      <c r="B17" s="53"/>
      <c r="C17" s="53"/>
      <c r="D17" s="53"/>
      <c r="E17" s="53"/>
      <c r="F17" s="53"/>
    </row>
  </sheetData>
  <mergeCells count="7">
    <mergeCell ref="A1:H1"/>
    <mergeCell ref="A17:F17"/>
    <mergeCell ref="A12:H12"/>
    <mergeCell ref="A15:H15"/>
    <mergeCell ref="A16:H16"/>
    <mergeCell ref="A13:H13"/>
    <mergeCell ref="A14:H1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showGridLines="0" workbookViewId="0">
      <selection activeCell="A25" sqref="A25"/>
    </sheetView>
  </sheetViews>
  <sheetFormatPr baseColWidth="10" defaultColWidth="8.83203125" defaultRowHeight="15" x14ac:dyDescent="0.2"/>
  <cols>
    <col min="1" max="1" width="28.83203125" customWidth="1"/>
    <col min="2" max="3" width="18" customWidth="1"/>
    <col min="4" max="4" width="14" customWidth="1"/>
    <col min="5" max="5" width="12" customWidth="1"/>
  </cols>
  <sheetData>
    <row r="1" spans="1:5" ht="19" x14ac:dyDescent="0.25">
      <c r="A1" s="49" t="s">
        <v>21</v>
      </c>
      <c r="B1" s="50"/>
      <c r="C1" s="50"/>
      <c r="D1" s="50"/>
      <c r="E1" s="50"/>
    </row>
    <row r="3" spans="1:5" x14ac:dyDescent="0.2">
      <c r="A3" s="17" t="s">
        <v>3</v>
      </c>
      <c r="B3" s="4">
        <f>Inputs!B4</f>
        <v>335253</v>
      </c>
    </row>
    <row r="4" spans="1:5" x14ac:dyDescent="0.2">
      <c r="A4" s="17" t="s">
        <v>15</v>
      </c>
      <c r="B4" s="5">
        <f>'Solver Model'!H8</f>
        <v>5111.6871659300914</v>
      </c>
    </row>
    <row r="5" spans="1:5" x14ac:dyDescent="0.2">
      <c r="A5" s="17" t="s">
        <v>16</v>
      </c>
      <c r="B5" s="16">
        <f>'Solver Model'!H9</f>
        <v>65.585586347007876</v>
      </c>
    </row>
    <row r="7" spans="1:5" x14ac:dyDescent="0.2">
      <c r="A7" s="19" t="s">
        <v>22</v>
      </c>
    </row>
    <row r="8" spans="1:5" x14ac:dyDescent="0.2">
      <c r="A8" s="2" t="s">
        <v>23</v>
      </c>
      <c r="B8" s="2" t="s">
        <v>24</v>
      </c>
      <c r="C8" s="2" t="s">
        <v>25</v>
      </c>
      <c r="D8" s="2" t="s">
        <v>26</v>
      </c>
    </row>
    <row r="9" spans="1:5" x14ac:dyDescent="0.2">
      <c r="A9" s="1" t="str">
        <f>'Solver Model'!A3</f>
        <v>cellular</v>
      </c>
      <c r="B9" s="4">
        <f>'Solver Model'!G3</f>
        <v>220000</v>
      </c>
      <c r="C9" s="5">
        <f>'Solver Model'!H3</f>
        <v>4066.9374649301744</v>
      </c>
      <c r="D9" s="18">
        <f>'Solver Model'!B3</f>
        <v>54.094758499999998</v>
      </c>
    </row>
    <row r="10" spans="1:5" x14ac:dyDescent="0.2">
      <c r="A10" s="1" t="str">
        <f>'Solver Model'!A4</f>
        <v>unknown</v>
      </c>
      <c r="B10" s="4">
        <f>'Solver Model'!G4</f>
        <v>35253</v>
      </c>
      <c r="C10" s="5">
        <f>'Solver Model'!H4</f>
        <v>343.20833130265402</v>
      </c>
      <c r="D10" s="18">
        <f>'Solver Model'!B4</f>
        <v>102.716038</v>
      </c>
    </row>
    <row r="11" spans="1:5" x14ac:dyDescent="0.2">
      <c r="A11" s="1" t="str">
        <f>'Solver Model'!A5</f>
        <v>telephone</v>
      </c>
      <c r="B11" s="4">
        <f>'Solver Model'!G5</f>
        <v>80000</v>
      </c>
      <c r="C11" s="5">
        <f>'Solver Model'!H5</f>
        <v>701.54136969726255</v>
      </c>
      <c r="D11" s="18">
        <f>'Solver Model'!B5</f>
        <v>114.034615</v>
      </c>
    </row>
    <row r="12" spans="1:5" x14ac:dyDescent="0.2">
      <c r="A12" t="s">
        <v>30</v>
      </c>
      <c r="B12" s="36">
        <f>SUM(B9:B11)</f>
        <v>335253</v>
      </c>
      <c r="C12" s="36">
        <f t="shared" ref="C12" si="0">SUM(C9:C11)</f>
        <v>5111.6871659300914</v>
      </c>
      <c r="D12" s="36">
        <f>B12/C12</f>
        <v>65.585586347007876</v>
      </c>
    </row>
    <row r="13" spans="1:5" x14ac:dyDescent="0.2">
      <c r="A13" s="19" t="s">
        <v>27</v>
      </c>
    </row>
    <row r="14" spans="1:5" x14ac:dyDescent="0.2">
      <c r="A14" s="56"/>
      <c r="B14" s="57"/>
      <c r="C14" s="57"/>
      <c r="D14" s="57"/>
      <c r="E14" s="57"/>
    </row>
    <row r="15" spans="1:5" x14ac:dyDescent="0.2">
      <c r="A15" s="56"/>
      <c r="B15" s="57"/>
      <c r="C15" s="57"/>
      <c r="D15" s="57"/>
      <c r="E15" s="57"/>
    </row>
    <row r="16" spans="1:5" x14ac:dyDescent="0.2">
      <c r="A16" s="56"/>
      <c r="B16" s="57"/>
      <c r="C16" s="57"/>
      <c r="D16" s="57"/>
      <c r="E16" s="57"/>
    </row>
    <row r="17" spans="1:1" ht="16" x14ac:dyDescent="0.2">
      <c r="A17" s="149" t="s">
        <v>102</v>
      </c>
    </row>
    <row r="18" spans="1:1" x14ac:dyDescent="0.2">
      <c r="A18" t="s">
        <v>101</v>
      </c>
    </row>
    <row r="19" spans="1:1" x14ac:dyDescent="0.2">
      <c r="A19" t="s">
        <v>103</v>
      </c>
    </row>
    <row r="20" spans="1:1" x14ac:dyDescent="0.2">
      <c r="A20" t="s">
        <v>104</v>
      </c>
    </row>
  </sheetData>
  <mergeCells count="4">
    <mergeCell ref="A16:E16"/>
    <mergeCell ref="A15:E15"/>
    <mergeCell ref="A1:E1"/>
    <mergeCell ref="A14:E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90C8B-B5E2-4945-83AD-3CC649DEB2A4}">
  <dimension ref="A2:I35"/>
  <sheetViews>
    <sheetView showGridLines="0" tabSelected="1" zoomScale="93" workbookViewId="0">
      <selection activeCell="I16" sqref="I16"/>
    </sheetView>
  </sheetViews>
  <sheetFormatPr baseColWidth="10" defaultRowHeight="15" x14ac:dyDescent="0.2"/>
  <cols>
    <col min="1" max="1" width="16.5" customWidth="1"/>
    <col min="2" max="2" width="15.33203125" customWidth="1"/>
    <col min="3" max="3" width="15.6640625" customWidth="1"/>
    <col min="4" max="4" width="14.6640625" customWidth="1"/>
    <col min="5" max="5" width="16.33203125" customWidth="1"/>
    <col min="6" max="6" width="15.6640625" customWidth="1"/>
    <col min="7" max="7" width="19.83203125" customWidth="1"/>
    <col min="8" max="8" width="12.33203125" customWidth="1"/>
  </cols>
  <sheetData>
    <row r="2" spans="1:8" ht="19" x14ac:dyDescent="0.25">
      <c r="A2" s="87" t="s">
        <v>96</v>
      </c>
      <c r="B2" s="87"/>
      <c r="C2" s="87"/>
      <c r="D2" s="87"/>
      <c r="E2" s="87"/>
      <c r="F2" s="87"/>
      <c r="G2" s="87"/>
      <c r="H2" s="87"/>
    </row>
    <row r="4" spans="1:8" x14ac:dyDescent="0.2">
      <c r="A4" s="88" t="s">
        <v>94</v>
      </c>
      <c r="B4" s="88"/>
      <c r="C4" s="88"/>
      <c r="D4" s="88"/>
    </row>
    <row r="5" spans="1:8" x14ac:dyDescent="0.2">
      <c r="A5" s="58" t="s">
        <v>84</v>
      </c>
      <c r="B5" s="59" t="s">
        <v>91</v>
      </c>
      <c r="C5" s="59" t="s">
        <v>92</v>
      </c>
      <c r="D5" s="60" t="s">
        <v>66</v>
      </c>
    </row>
    <row r="6" spans="1:8" x14ac:dyDescent="0.2">
      <c r="A6" s="82" t="s">
        <v>28</v>
      </c>
      <c r="B6" s="63">
        <f>'[1]Solver Table'!F2</f>
        <v>150000</v>
      </c>
      <c r="C6" s="63">
        <f>'[1]Solver Table'!E2</f>
        <v>220000</v>
      </c>
      <c r="D6" s="83">
        <f>'[1]Channel Summary'!I2</f>
        <v>54.094758499999998</v>
      </c>
    </row>
    <row r="7" spans="1:8" x14ac:dyDescent="0.2">
      <c r="A7" s="84" t="s">
        <v>50</v>
      </c>
      <c r="B7" s="79">
        <f>'[1]Solver Table'!F3</f>
        <v>15000</v>
      </c>
      <c r="C7" s="79">
        <f>'[1]Solver Table'!E3</f>
        <v>35253</v>
      </c>
      <c r="D7" s="85">
        <f>'[1]Channel Summary'!I3</f>
        <v>102.716038</v>
      </c>
    </row>
    <row r="8" spans="1:8" x14ac:dyDescent="0.2">
      <c r="A8" s="86" t="s">
        <v>49</v>
      </c>
      <c r="B8" s="63">
        <f>'[1]Solver Table'!F4</f>
        <v>40000</v>
      </c>
      <c r="C8" s="63">
        <f>'[1]Solver Table'!E4</f>
        <v>80000</v>
      </c>
      <c r="D8" s="67">
        <f>'[1]Channel Summary'!I4</f>
        <v>114.034615</v>
      </c>
    </row>
    <row r="10" spans="1:8" ht="16" x14ac:dyDescent="0.2">
      <c r="A10" s="89" t="s">
        <v>24</v>
      </c>
      <c r="B10" s="89"/>
      <c r="C10" s="89"/>
      <c r="D10" s="89"/>
      <c r="E10" s="89"/>
      <c r="F10" s="89"/>
      <c r="G10" s="89"/>
      <c r="H10" s="89"/>
    </row>
    <row r="11" spans="1:8" x14ac:dyDescent="0.2">
      <c r="A11" s="61" t="s">
        <v>85</v>
      </c>
      <c r="B11" s="62" t="s">
        <v>86</v>
      </c>
      <c r="C11" s="62" t="s">
        <v>87</v>
      </c>
      <c r="D11" s="62" t="s">
        <v>88</v>
      </c>
      <c r="E11" s="62" t="s">
        <v>89</v>
      </c>
      <c r="F11" s="62" t="s">
        <v>90</v>
      </c>
      <c r="G11" s="62" t="s">
        <v>93</v>
      </c>
    </row>
    <row r="12" spans="1:8" x14ac:dyDescent="0.2">
      <c r="A12" s="65">
        <v>150000</v>
      </c>
      <c r="B12" s="63">
        <f>MIN($C$6,MAX($B$6,A12-($B$7+$B$8)))</f>
        <v>150000</v>
      </c>
      <c r="C12" s="63">
        <f t="shared" ref="C12:C19" si="0">MIN($C$7,MAX($B$7,A12-B12-$B$8))</f>
        <v>15000</v>
      </c>
      <c r="D12" s="63">
        <f t="shared" ref="D12:D19" si="1">MIN($C$8,MAX($B$8,A12-B12-C12))</f>
        <v>40000</v>
      </c>
      <c r="E12" s="66">
        <f>B12/$D$6+C12/$D$7+D12/$D$8</f>
        <v>3269.7162627847806</v>
      </c>
      <c r="F12" s="67">
        <f>A12/E12</f>
        <v>45.875540244047563</v>
      </c>
      <c r="G12" s="68">
        <f>F12-$F$16</f>
        <v>-19.710046102960312</v>
      </c>
    </row>
    <row r="13" spans="1:8" x14ac:dyDescent="0.2">
      <c r="A13" s="69">
        <v>200000</v>
      </c>
      <c r="B13" s="64">
        <f t="shared" ref="B13:B19" si="2">MIN($C$6,MAX($B$6,A13-($B$7+$B$8)))</f>
        <v>150000</v>
      </c>
      <c r="C13" s="64">
        <f t="shared" si="0"/>
        <v>15000</v>
      </c>
      <c r="D13" s="64">
        <f t="shared" si="1"/>
        <v>40000</v>
      </c>
      <c r="E13" s="70">
        <f>B13/$D$6+C13/$D$7+D13/$D$8</f>
        <v>3269.7162627847806</v>
      </c>
      <c r="F13" s="71">
        <f>A13/E13</f>
        <v>61.16738699206342</v>
      </c>
      <c r="G13" s="72">
        <f>F13-$F$16</f>
        <v>-4.4181993549444556</v>
      </c>
    </row>
    <row r="14" spans="1:8" x14ac:dyDescent="0.2">
      <c r="A14" s="65">
        <v>250000</v>
      </c>
      <c r="B14" s="63">
        <f t="shared" si="2"/>
        <v>195000</v>
      </c>
      <c r="C14" s="63">
        <f>MIN($C$7,MAX($B$7,A14-B14-$B$8))</f>
        <v>15000</v>
      </c>
      <c r="D14" s="63">
        <f t="shared" si="1"/>
        <v>40000</v>
      </c>
      <c r="E14" s="66">
        <f>B14/$D$6+C14/$D$7+D14/$D$8</f>
        <v>4101.5898351568612</v>
      </c>
      <c r="F14" s="67">
        <f>A14/E14</f>
        <v>60.951974733582546</v>
      </c>
      <c r="G14" s="68">
        <f>F14-$F$16</f>
        <v>-4.6336116134253302</v>
      </c>
    </row>
    <row r="15" spans="1:8" x14ac:dyDescent="0.2">
      <c r="A15" s="69">
        <v>300000</v>
      </c>
      <c r="B15" s="64">
        <f t="shared" si="2"/>
        <v>220000</v>
      </c>
      <c r="C15" s="64">
        <f t="shared" si="0"/>
        <v>35253</v>
      </c>
      <c r="D15" s="64">
        <f t="shared" si="1"/>
        <v>44747</v>
      </c>
      <c r="E15" s="70">
        <f>B15/$D$6+C15/$D$7+D15/$D$8</f>
        <v>4802.5441921058709</v>
      </c>
      <c r="F15" s="71">
        <f>A15/E15</f>
        <v>62.466890048221046</v>
      </c>
      <c r="G15" s="72">
        <f>F15-$F$16</f>
        <v>-3.1186962987868299</v>
      </c>
    </row>
    <row r="16" spans="1:8" x14ac:dyDescent="0.2">
      <c r="A16" s="73">
        <v>335253</v>
      </c>
      <c r="B16" s="74">
        <f t="shared" si="2"/>
        <v>220000</v>
      </c>
      <c r="C16" s="74">
        <f>MIN($C$7,MAX($B$7,A16-B16-$B$8))</f>
        <v>35253</v>
      </c>
      <c r="D16" s="74">
        <f t="shared" si="1"/>
        <v>80000</v>
      </c>
      <c r="E16" s="75">
        <f>B16/$D$6+C16/$D$7+D16/$D$8</f>
        <v>5111.6871659300914</v>
      </c>
      <c r="F16" s="76">
        <f>A16/E16</f>
        <v>65.585586347007876</v>
      </c>
      <c r="G16" s="77">
        <v>0</v>
      </c>
    </row>
    <row r="17" spans="1:9" x14ac:dyDescent="0.2">
      <c r="A17" s="69">
        <v>400000</v>
      </c>
      <c r="B17" s="64">
        <f t="shared" si="2"/>
        <v>220000</v>
      </c>
      <c r="C17" s="64">
        <f t="shared" si="0"/>
        <v>35253</v>
      </c>
      <c r="D17" s="64">
        <f t="shared" si="1"/>
        <v>80000</v>
      </c>
      <c r="E17" s="70">
        <f>B17/$D$6+C17/$D$7+D17/$D$8</f>
        <v>5111.6871659300914</v>
      </c>
      <c r="F17" s="71">
        <f>A17/E17</f>
        <v>78.252050060113262</v>
      </c>
      <c r="G17" s="72">
        <f>F17-$F$16</f>
        <v>12.666463713105387</v>
      </c>
    </row>
    <row r="18" spans="1:9" x14ac:dyDescent="0.2">
      <c r="A18" s="65">
        <v>450000</v>
      </c>
      <c r="B18" s="63">
        <f t="shared" si="2"/>
        <v>220000</v>
      </c>
      <c r="C18" s="63">
        <f t="shared" si="0"/>
        <v>35253</v>
      </c>
      <c r="D18" s="63">
        <f t="shared" si="1"/>
        <v>80000</v>
      </c>
      <c r="E18" s="66">
        <f>B18/$D$6+C18/$D$7+D18/$D$8</f>
        <v>5111.6871659300914</v>
      </c>
      <c r="F18" s="67">
        <f>A18/E18</f>
        <v>88.033556317627415</v>
      </c>
      <c r="G18" s="68">
        <f>F18-$F$16</f>
        <v>22.447969970619539</v>
      </c>
    </row>
    <row r="19" spans="1:9" x14ac:dyDescent="0.2">
      <c r="A19" s="78">
        <v>500000</v>
      </c>
      <c r="B19" s="79">
        <f t="shared" si="2"/>
        <v>220000</v>
      </c>
      <c r="C19" s="79">
        <f t="shared" si="0"/>
        <v>35253</v>
      </c>
      <c r="D19" s="79">
        <f t="shared" si="1"/>
        <v>80000</v>
      </c>
      <c r="E19" s="70">
        <f>B19/$D$6+C19/$D$7+D19/$D$8</f>
        <v>5111.6871659300914</v>
      </c>
      <c r="F19" s="80">
        <f>A19/E19</f>
        <v>97.815062575141582</v>
      </c>
      <c r="G19" s="81">
        <f>F19-$F$16</f>
        <v>32.229476228133706</v>
      </c>
    </row>
    <row r="24" spans="1:9" ht="16" x14ac:dyDescent="0.2">
      <c r="A24" s="90" t="s">
        <v>95</v>
      </c>
      <c r="B24" s="90"/>
      <c r="C24" s="90"/>
      <c r="D24" s="90"/>
      <c r="E24" s="90"/>
      <c r="F24" s="90"/>
      <c r="G24" s="90"/>
      <c r="H24" s="90"/>
      <c r="I24" s="90"/>
    </row>
    <row r="25" spans="1:9" x14ac:dyDescent="0.2">
      <c r="A25" s="118" t="s">
        <v>23</v>
      </c>
      <c r="B25" s="118" t="s">
        <v>48</v>
      </c>
      <c r="C25" s="119">
        <v>-0.6</v>
      </c>
      <c r="D25" s="119">
        <v>-0.4</v>
      </c>
      <c r="E25" s="119">
        <v>-0.2</v>
      </c>
      <c r="F25" s="120">
        <v>0</v>
      </c>
      <c r="G25" s="120">
        <v>0.2</v>
      </c>
      <c r="H25" s="120">
        <v>0.4</v>
      </c>
      <c r="I25" s="120">
        <v>0.6</v>
      </c>
    </row>
    <row r="26" spans="1:9" ht="16" x14ac:dyDescent="0.25">
      <c r="A26" s="117" t="s">
        <v>7</v>
      </c>
      <c r="B26" s="121">
        <v>3</v>
      </c>
      <c r="C26" s="47">
        <f>'Channel Summary'!I2*(1-60%)</f>
        <v>21.637903399999999</v>
      </c>
      <c r="D26" s="47">
        <f>'Channel Summary'!I2*(1-40%)</f>
        <v>32.456855099999999</v>
      </c>
      <c r="E26" s="47">
        <f>'Channel Summary'!I2*(1-20%)</f>
        <v>43.275806799999998</v>
      </c>
      <c r="F26" s="48">
        <f>'Channel Summary'!I2*(1-0%)</f>
        <v>54.094758499999998</v>
      </c>
      <c r="G26" s="47">
        <f>'Channel Summary'!I2*(1+20%)</f>
        <v>64.913710199999997</v>
      </c>
      <c r="H26" s="47">
        <f>'Channel Summary'!I2*(1+40%)</f>
        <v>75.732661899999997</v>
      </c>
      <c r="I26" s="47">
        <f>'Channel Summary'!I2*(1+60%)</f>
        <v>86.551613599999996</v>
      </c>
    </row>
    <row r="27" spans="1:9" ht="16" x14ac:dyDescent="0.25">
      <c r="A27" s="117" t="s">
        <v>10</v>
      </c>
      <c r="B27" s="121">
        <v>4.5</v>
      </c>
      <c r="C27" s="47">
        <f>'Channel Summary'!I3*(1-60%)</f>
        <v>41.086415200000005</v>
      </c>
      <c r="D27" s="47">
        <f>'Channel Summary'!I3*(1-40%)</f>
        <v>61.629622799999993</v>
      </c>
      <c r="E27" s="47">
        <f>'Channel Summary'!I3*(1-20%)</f>
        <v>82.172830400000009</v>
      </c>
      <c r="F27" s="48">
        <f>'Channel Summary'!I3*(1-0%)</f>
        <v>102.716038</v>
      </c>
      <c r="G27" s="47">
        <f>'Channel Summary'!I3*(1+20%)</f>
        <v>123.25924559999999</v>
      </c>
      <c r="H27" s="47">
        <f>'Channel Summary'!I3*(1+40%)</f>
        <v>143.80245319999997</v>
      </c>
      <c r="I27" s="47">
        <f>'Channel Summary'!I3*(1+60%)</f>
        <v>164.34566080000002</v>
      </c>
    </row>
    <row r="28" spans="1:9" ht="16" x14ac:dyDescent="0.25">
      <c r="A28" s="122" t="s">
        <v>11</v>
      </c>
      <c r="B28" s="123">
        <v>1.5</v>
      </c>
      <c r="C28" s="124">
        <f>'Channel Summary'!I4*(1-60%)</f>
        <v>45.613846000000002</v>
      </c>
      <c r="D28" s="47">
        <f>'Channel Summary'!I4*(1-40%)</f>
        <v>68.420768999999993</v>
      </c>
      <c r="E28" s="47">
        <f>'Channel Summary'!I4*(1-20%)</f>
        <v>91.227692000000005</v>
      </c>
      <c r="F28" s="48">
        <f>'Channel Summary'!I4*(1-0%)</f>
        <v>114.034615</v>
      </c>
      <c r="G28" s="47">
        <f>'Channel Summary'!I4*(1+20%)</f>
        <v>136.84153799999999</v>
      </c>
      <c r="H28" s="47">
        <f>'Channel Summary'!I4*(1+40%)</f>
        <v>159.648461</v>
      </c>
      <c r="I28" s="47">
        <f>'Channel Summary'!I4*(1+60%)</f>
        <v>182.45538400000001</v>
      </c>
    </row>
    <row r="29" spans="1:9" x14ac:dyDescent="0.2">
      <c r="A29" s="125"/>
      <c r="B29" s="126"/>
      <c r="C29" s="127"/>
    </row>
    <row r="30" spans="1:9" x14ac:dyDescent="0.2">
      <c r="A30" s="128"/>
      <c r="B30" s="129"/>
      <c r="C30" s="130"/>
    </row>
    <row r="31" spans="1:9" x14ac:dyDescent="0.2">
      <c r="A31" s="125"/>
      <c r="B31" s="126"/>
      <c r="C31" s="127"/>
    </row>
    <row r="32" spans="1:9" ht="16" x14ac:dyDescent="0.2">
      <c r="A32" s="151" t="s">
        <v>102</v>
      </c>
      <c r="B32" s="131"/>
      <c r="C32" s="132"/>
    </row>
    <row r="33" spans="1:5" x14ac:dyDescent="0.2">
      <c r="A33" s="150" t="s">
        <v>105</v>
      </c>
      <c r="B33" s="150"/>
      <c r="C33" s="150"/>
      <c r="D33" s="150"/>
      <c r="E33" s="150"/>
    </row>
    <row r="34" spans="1:5" x14ac:dyDescent="0.2">
      <c r="A34" s="150"/>
      <c r="B34" s="150"/>
      <c r="C34" s="150"/>
      <c r="D34" s="150"/>
      <c r="E34" s="150"/>
    </row>
    <row r="35" spans="1:5" s="39" customFormat="1" x14ac:dyDescent="0.2">
      <c r="A35" s="39" t="s">
        <v>106</v>
      </c>
    </row>
  </sheetData>
  <mergeCells count="5">
    <mergeCell ref="A10:H10"/>
    <mergeCell ref="A2:H2"/>
    <mergeCell ref="A4:D4"/>
    <mergeCell ref="A24:I24"/>
    <mergeCell ref="A33:E34"/>
  </mergeCells>
  <conditionalFormatting sqref="C26:I28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2:G1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2">
    <tablePart r:id="rId1"/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76123-B575-3A4F-8B2B-EB47C783D698}">
  <dimension ref="A1:F30"/>
  <sheetViews>
    <sheetView showGridLines="0" zoomScale="68" zoomScaleNormal="75" workbookViewId="0">
      <selection activeCell="I20" sqref="I20"/>
    </sheetView>
  </sheetViews>
  <sheetFormatPr baseColWidth="10" defaultRowHeight="15" x14ac:dyDescent="0.2"/>
  <cols>
    <col min="1" max="1" width="36.83203125" customWidth="1"/>
    <col min="2" max="2" width="22.1640625" customWidth="1"/>
    <col min="4" max="4" width="30" customWidth="1"/>
    <col min="5" max="5" width="29.83203125" customWidth="1"/>
    <col min="6" max="6" width="47.83203125" customWidth="1"/>
  </cols>
  <sheetData>
    <row r="1" spans="1:6" ht="18" customHeight="1" x14ac:dyDescent="0.2">
      <c r="A1" s="145" t="s">
        <v>98</v>
      </c>
      <c r="B1" s="145"/>
      <c r="C1" s="145"/>
      <c r="D1" s="145"/>
      <c r="E1" s="145"/>
      <c r="F1" s="145"/>
    </row>
    <row r="2" spans="1:6" ht="26" customHeight="1" x14ac:dyDescent="0.2">
      <c r="A2" s="135"/>
      <c r="B2" s="135"/>
      <c r="C2" s="135"/>
      <c r="D2" s="135"/>
      <c r="E2" s="135"/>
      <c r="F2" s="135"/>
    </row>
    <row r="3" spans="1:6" x14ac:dyDescent="0.2">
      <c r="A3" s="43"/>
      <c r="B3" s="43"/>
      <c r="C3" s="43"/>
      <c r="D3" s="43"/>
      <c r="E3" s="43"/>
      <c r="F3" s="43"/>
    </row>
    <row r="4" spans="1:6" x14ac:dyDescent="0.2">
      <c r="A4" s="133" t="s">
        <v>51</v>
      </c>
      <c r="B4" s="133"/>
      <c r="C4" s="133"/>
      <c r="D4" s="133"/>
      <c r="E4" s="133"/>
      <c r="F4" s="133"/>
    </row>
    <row r="5" spans="1:6" x14ac:dyDescent="0.2">
      <c r="A5" s="143" t="s">
        <v>52</v>
      </c>
      <c r="B5" s="144" t="s">
        <v>47</v>
      </c>
      <c r="C5" s="134"/>
      <c r="D5" s="134"/>
      <c r="E5" s="134"/>
      <c r="F5" s="134"/>
    </row>
    <row r="6" spans="1:6" ht="21" customHeight="1" x14ac:dyDescent="0.2">
      <c r="A6" s="44" t="s">
        <v>53</v>
      </c>
      <c r="B6" s="146">
        <v>200</v>
      </c>
      <c r="C6" s="135"/>
      <c r="D6" s="135"/>
      <c r="E6" s="135"/>
      <c r="F6" s="135"/>
    </row>
    <row r="7" spans="1:6" x14ac:dyDescent="0.2">
      <c r="A7" s="44" t="s">
        <v>54</v>
      </c>
      <c r="B7" s="147">
        <v>2</v>
      </c>
      <c r="C7" s="135"/>
      <c r="D7" s="135"/>
      <c r="E7" s="135"/>
      <c r="F7" s="135"/>
    </row>
    <row r="8" spans="1:6" x14ac:dyDescent="0.2">
      <c r="A8" s="44" t="s">
        <v>55</v>
      </c>
      <c r="B8" s="148">
        <v>0.5</v>
      </c>
      <c r="C8" s="135"/>
      <c r="D8" s="135"/>
      <c r="E8" s="135"/>
      <c r="F8" s="135"/>
    </row>
    <row r="9" spans="1:6" x14ac:dyDescent="0.2">
      <c r="A9" s="44" t="s">
        <v>56</v>
      </c>
      <c r="B9" s="148">
        <v>0.1</v>
      </c>
      <c r="C9" s="135" t="s">
        <v>84</v>
      </c>
      <c r="D9" s="135"/>
      <c r="E9" s="135"/>
      <c r="F9" s="135"/>
    </row>
    <row r="10" spans="1:6" x14ac:dyDescent="0.2">
      <c r="A10" s="44" t="s">
        <v>57</v>
      </c>
      <c r="B10" s="148">
        <v>0.6</v>
      </c>
      <c r="C10" s="135"/>
      <c r="D10" s="135"/>
      <c r="E10" s="135"/>
      <c r="F10" s="135"/>
    </row>
    <row r="11" spans="1:6" x14ac:dyDescent="0.2">
      <c r="A11" s="43"/>
      <c r="B11" s="43"/>
      <c r="C11" s="136"/>
      <c r="D11" s="136"/>
      <c r="E11" s="136"/>
      <c r="F11" s="136"/>
    </row>
    <row r="12" spans="1:6" x14ac:dyDescent="0.2">
      <c r="A12" s="140" t="s">
        <v>58</v>
      </c>
      <c r="B12" s="140"/>
      <c r="C12" s="140"/>
      <c r="D12" s="140"/>
      <c r="E12" s="140"/>
      <c r="F12" s="140"/>
    </row>
    <row r="13" spans="1:6" x14ac:dyDescent="0.2">
      <c r="A13" s="143" t="s">
        <v>59</v>
      </c>
      <c r="B13" s="144" t="s">
        <v>60</v>
      </c>
      <c r="C13" s="134"/>
      <c r="D13" s="134"/>
      <c r="E13" s="134"/>
    </row>
    <row r="14" spans="1:6" x14ac:dyDescent="0.2">
      <c r="A14" s="91" t="s">
        <v>61</v>
      </c>
      <c r="B14" s="137">
        <f>B6*B7</f>
        <v>400</v>
      </c>
      <c r="C14" s="141"/>
      <c r="D14" s="141"/>
      <c r="E14" s="141"/>
    </row>
    <row r="15" spans="1:6" x14ac:dyDescent="0.2">
      <c r="A15" s="97" t="s">
        <v>62</v>
      </c>
      <c r="B15" s="138">
        <f>B6/B8</f>
        <v>400</v>
      </c>
      <c r="C15" s="142"/>
      <c r="D15" s="142"/>
      <c r="E15" s="142"/>
    </row>
    <row r="16" spans="1:6" x14ac:dyDescent="0.2">
      <c r="A16" s="91" t="s">
        <v>63</v>
      </c>
      <c r="B16" s="137">
        <f>(B6*B10)/B8</f>
        <v>240</v>
      </c>
      <c r="C16" s="141"/>
      <c r="D16" s="141"/>
      <c r="E16" s="141"/>
    </row>
    <row r="17" spans="1:6" x14ac:dyDescent="0.2">
      <c r="A17" s="97" t="s">
        <v>64</v>
      </c>
      <c r="B17" s="139">
        <f>(B6*B10)/(B8+B9)</f>
        <v>200</v>
      </c>
      <c r="C17" s="142"/>
      <c r="D17" s="142"/>
      <c r="E17" s="142"/>
    </row>
    <row r="18" spans="1:6" x14ac:dyDescent="0.2">
      <c r="A18" s="43"/>
      <c r="B18" s="43"/>
      <c r="C18" s="43"/>
      <c r="D18" s="43"/>
      <c r="E18" s="43"/>
      <c r="F18" s="43"/>
    </row>
    <row r="19" spans="1:6" x14ac:dyDescent="0.2">
      <c r="A19" s="51" t="s">
        <v>65</v>
      </c>
      <c r="B19" s="51"/>
      <c r="C19" s="51"/>
      <c r="D19" s="51"/>
      <c r="E19" s="51"/>
      <c r="F19" s="52"/>
    </row>
    <row r="20" spans="1:6" ht="42" x14ac:dyDescent="0.2">
      <c r="A20" s="45" t="s">
        <v>23</v>
      </c>
      <c r="B20" s="46" t="s">
        <v>66</v>
      </c>
      <c r="C20" s="46" t="s">
        <v>67</v>
      </c>
      <c r="D20" s="46" t="s">
        <v>68</v>
      </c>
      <c r="E20" s="46" t="s">
        <v>69</v>
      </c>
      <c r="F20" s="46" t="s">
        <v>70</v>
      </c>
    </row>
    <row r="21" spans="1:6" x14ac:dyDescent="0.2">
      <c r="A21" s="91" t="s">
        <v>28</v>
      </c>
      <c r="B21" s="92">
        <f>'Solver Table'!B2</f>
        <v>54.094758525978399</v>
      </c>
      <c r="C21" s="93">
        <f>$B$17</f>
        <v>200</v>
      </c>
      <c r="D21" s="94">
        <f>C21/B21</f>
        <v>3.6972158754337032</v>
      </c>
      <c r="E21" s="95">
        <f>B21/(B6*B10/12)</f>
        <v>5.4094758525978399</v>
      </c>
      <c r="F21" s="96" t="str">
        <f>IF(C21/B21&gt;=5,"Excellent",IF(C21/B21&gt;=3,"Healthy",IF(C21/B21&gt;=1,"Marginal","Unprofitable")))</f>
        <v>Healthy</v>
      </c>
    </row>
    <row r="22" spans="1:6" x14ac:dyDescent="0.2">
      <c r="A22" s="97" t="s">
        <v>50</v>
      </c>
      <c r="B22" s="92">
        <f>'Solver Table'!B3</f>
        <v>102.716037735849</v>
      </c>
      <c r="C22" s="93">
        <f>$B$17</f>
        <v>200</v>
      </c>
      <c r="D22" s="94">
        <f t="shared" ref="D22:D23" si="0">C22/B22</f>
        <v>1.9471156053968177</v>
      </c>
      <c r="E22" s="98">
        <f>B22/(B6*B10/12)</f>
        <v>10.2716037735849</v>
      </c>
      <c r="F22" s="99" t="str">
        <f>IF(C22/B22&gt;=5,"Excellent",IF(C22/B22&gt;=3,"Healthy",IF(C22/B22&gt;=1,"Marginal","Unprofitable")))</f>
        <v>Marginal</v>
      </c>
    </row>
    <row r="23" spans="1:6" x14ac:dyDescent="0.2">
      <c r="A23" s="91" t="s">
        <v>49</v>
      </c>
      <c r="B23" s="92">
        <f>'Solver Table'!B4</f>
        <v>114.03461538461499</v>
      </c>
      <c r="C23" s="93">
        <f t="shared" ref="C22:C23" si="1">$B$17</f>
        <v>200</v>
      </c>
      <c r="D23" s="94">
        <f t="shared" si="0"/>
        <v>1.7538534183277743</v>
      </c>
      <c r="E23" s="95">
        <f>B23/(B6*B10/12)</f>
        <v>11.403461538461499</v>
      </c>
      <c r="F23" s="96" t="str">
        <f>IF(C23/B23&gt;=5,"Excellent",IF(C23/B23&gt;=3,"Healthy",IF(C23/B23&gt;=1,"Marginal","Unprofitable")))</f>
        <v>Marginal</v>
      </c>
    </row>
    <row r="24" spans="1:6" x14ac:dyDescent="0.2">
      <c r="A24" s="43"/>
      <c r="B24" s="43"/>
      <c r="C24" s="43"/>
      <c r="D24" s="43"/>
      <c r="E24" s="43"/>
      <c r="F24" s="43"/>
    </row>
    <row r="25" spans="1:6" x14ac:dyDescent="0.2">
      <c r="A25" s="51" t="s">
        <v>72</v>
      </c>
      <c r="B25" s="51"/>
      <c r="C25" s="51"/>
      <c r="D25" s="51"/>
      <c r="E25" s="51"/>
      <c r="F25" s="52"/>
    </row>
    <row r="26" spans="1:6" x14ac:dyDescent="0.2">
      <c r="A26" s="45" t="s">
        <v>73</v>
      </c>
      <c r="B26" s="46" t="s">
        <v>70</v>
      </c>
      <c r="C26" s="100" t="s">
        <v>74</v>
      </c>
      <c r="D26" s="101"/>
      <c r="E26" s="101"/>
      <c r="F26" s="102"/>
    </row>
    <row r="27" spans="1:6" x14ac:dyDescent="0.2">
      <c r="A27" s="103" t="s">
        <v>75</v>
      </c>
      <c r="B27" s="104" t="s">
        <v>76</v>
      </c>
      <c r="C27" s="105" t="s">
        <v>77</v>
      </c>
      <c r="D27" s="106"/>
      <c r="E27" s="106"/>
      <c r="F27" s="107"/>
    </row>
    <row r="28" spans="1:6" x14ac:dyDescent="0.2">
      <c r="A28" s="108" t="s">
        <v>78</v>
      </c>
      <c r="B28" s="109" t="s">
        <v>79</v>
      </c>
      <c r="C28" s="110" t="s">
        <v>99</v>
      </c>
      <c r="D28" s="111"/>
      <c r="E28" s="111"/>
      <c r="F28" s="112"/>
    </row>
    <row r="29" spans="1:6" x14ac:dyDescent="0.2">
      <c r="A29" s="113" t="s">
        <v>80</v>
      </c>
      <c r="B29" s="114" t="s">
        <v>81</v>
      </c>
      <c r="C29" s="105" t="s">
        <v>82</v>
      </c>
      <c r="D29" s="106"/>
      <c r="E29" s="106"/>
      <c r="F29" s="107"/>
    </row>
    <row r="30" spans="1:6" x14ac:dyDescent="0.2">
      <c r="A30" s="115" t="s">
        <v>83</v>
      </c>
      <c r="B30" s="116" t="s">
        <v>71</v>
      </c>
      <c r="C30" s="110" t="s">
        <v>100</v>
      </c>
      <c r="D30" s="111"/>
      <c r="E30" s="111"/>
      <c r="F30" s="112"/>
    </row>
  </sheetData>
  <mergeCells count="22">
    <mergeCell ref="C14:E14"/>
    <mergeCell ref="A1:F1"/>
    <mergeCell ref="A2:F2"/>
    <mergeCell ref="A4:F4"/>
    <mergeCell ref="C5:F5"/>
    <mergeCell ref="C6:F6"/>
    <mergeCell ref="C7:F7"/>
    <mergeCell ref="C8:F8"/>
    <mergeCell ref="C9:F9"/>
    <mergeCell ref="C10:F10"/>
    <mergeCell ref="A12:F12"/>
    <mergeCell ref="C13:E13"/>
    <mergeCell ref="C27:F27"/>
    <mergeCell ref="C28:F28"/>
    <mergeCell ref="C29:F29"/>
    <mergeCell ref="C30:F30"/>
    <mergeCell ref="C15:E15"/>
    <mergeCell ref="C16:E16"/>
    <mergeCell ref="C17:E17"/>
    <mergeCell ref="A19:F19"/>
    <mergeCell ref="A25:F25"/>
    <mergeCell ref="C26:F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Inputs</vt:lpstr>
      <vt:lpstr>Channel Summary</vt:lpstr>
      <vt:lpstr>Solver Table</vt:lpstr>
      <vt:lpstr>Solver Model</vt:lpstr>
      <vt:lpstr>Summary</vt:lpstr>
      <vt:lpstr>Sensitivity Analysis</vt:lpstr>
      <vt:lpstr>LTV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naomi adeniji</cp:lastModifiedBy>
  <dcterms:created xsi:type="dcterms:W3CDTF">2026-03-12T19:09:24Z</dcterms:created>
  <dcterms:modified xsi:type="dcterms:W3CDTF">2026-03-13T01:05:45Z</dcterms:modified>
</cp:coreProperties>
</file>